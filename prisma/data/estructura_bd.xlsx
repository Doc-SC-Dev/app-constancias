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omas\Documents\proyectos\constancias-doctorado\prisma\data\"/>
    </mc:Choice>
  </mc:AlternateContent>
  <xr:revisionPtr revIDLastSave="0" documentId="13_ncr:1_{C368AD34-0134-4530-8EF4-6143E93833CA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📌 Índice" sheetId="1" r:id="rId1"/>
    <sheet name="⚙️ Enumeraciones" sheetId="2" r:id="rId2"/>
    <sheet name="AcademicDegree" sheetId="3" r:id="rId3"/>
    <sheet name="AcademicTitle" sheetId="4" r:id="rId4"/>
    <sheet name="User" sheetId="5" r:id="rId5"/>
    <sheet name="Student" sheetId="6" r:id="rId6"/>
    <sheet name="ActivityType" sheetId="7" r:id="rId7"/>
    <sheet name="Activity" sheetId="8" r:id="rId8"/>
    <sheet name="ParticipantType" sheetId="9" r:id="rId9"/>
    <sheet name="Participant" sheetId="10" r:id="rId10"/>
    <sheet name="Certificate" sheetId="11" r:id="rId11"/>
    <sheet name="CertificateTemplate" sheetId="12" r:id="rId12"/>
    <sheet name="Exam" sheetId="15" r:id="rId13"/>
    <sheet name="AcademicPeriod" sheetId="16" r:id="rId14"/>
  </sheets>
  <definedNames>
    <definedName name="AcademicDegreeName">ADegreeTable[name]</definedName>
    <definedName name="ActivityName">ActivityTable[name]</definedName>
    <definedName name="ActivityTypeName">ActivityTypeTable[name]</definedName>
    <definedName name="CertificateName">CertificateTable[name]</definedName>
    <definedName name="GENDER">'⚙️ Enumeraciones'!$A$3:$A$5</definedName>
    <definedName name="ParticipantTypeName">ParticipantTypeTable[name]</definedName>
    <definedName name="ROLE">'⚙️ Enumeraciones'!$C$3:$C$6</definedName>
    <definedName name="STATE">'⚙️ Enumeraciones'!$E$3:$E$7</definedName>
    <definedName name="StudentName">StudentTable[userName]</definedName>
    <definedName name="UserName">UserTable[name]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8" i="5" l="1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7" i="5"/>
  <c r="D31" i="6"/>
  <c r="M36" i="5"/>
  <c r="M35" i="5"/>
  <c r="M34" i="5"/>
  <c r="E7" i="15"/>
  <c r="E22" i="9"/>
  <c r="E8" i="1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H7" i="12"/>
  <c r="H11" i="12"/>
  <c r="F7" i="16"/>
  <c r="F8" i="16"/>
  <c r="C9" i="12"/>
  <c r="C11" i="12"/>
  <c r="C10" i="12"/>
  <c r="C8" i="12"/>
  <c r="A7" i="10"/>
  <c r="H10" i="12"/>
  <c r="H9" i="12"/>
  <c r="E12" i="9"/>
  <c r="E16" i="9"/>
  <c r="E15" i="9"/>
  <c r="E18" i="9"/>
  <c r="F9" i="12"/>
  <c r="F11" i="12" l="1"/>
  <c r="F8" i="12"/>
  <c r="F7" i="12"/>
  <c r="F10" i="12"/>
  <c r="M30" i="5"/>
  <c r="M29" i="5"/>
  <c r="M28" i="5"/>
  <c r="M27" i="5"/>
  <c r="M26" i="5"/>
  <c r="M25" i="5"/>
  <c r="M24" i="5"/>
  <c r="M23" i="5"/>
  <c r="M22" i="5"/>
  <c r="M21" i="5"/>
  <c r="M20" i="5"/>
  <c r="M19" i="5"/>
  <c r="M33" i="5"/>
  <c r="M18" i="5"/>
  <c r="M32" i="5"/>
  <c r="M17" i="5"/>
  <c r="M31" i="5"/>
  <c r="E21" i="9"/>
  <c r="E20" i="9"/>
  <c r="E19" i="9"/>
  <c r="E17" i="9"/>
  <c r="M8" i="5"/>
  <c r="B7" i="4"/>
  <c r="M7" i="5"/>
  <c r="M16" i="5"/>
  <c r="M15" i="5"/>
  <c r="M14" i="5"/>
  <c r="M13" i="5"/>
  <c r="M12" i="5"/>
  <c r="M11" i="5"/>
  <c r="M10" i="5"/>
  <c r="M9" i="5"/>
  <c r="C7" i="12"/>
  <c r="D7" i="15"/>
  <c r="E7" i="9"/>
  <c r="E14" i="9"/>
  <c r="E13" i="9"/>
  <c r="E11" i="9"/>
  <c r="E7" i="10"/>
  <c r="C7" i="8"/>
  <c r="E10" i="9"/>
  <c r="E9" i="9"/>
  <c r="E8" i="9"/>
  <c r="G7" i="10"/>
  <c r="F7" i="10"/>
  <c r="B12" i="4" l="1"/>
  <c r="B10" i="4"/>
  <c r="B9" i="4"/>
  <c r="B8" i="4"/>
  <c r="B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tc={333457B4-C0B1-490D-B910-FE742EE78008}</author>
  </authors>
  <commentList>
    <comment ref="F3" authorId="0" shapeId="0" xr:uid="{333457B4-C0B1-490D-B910-FE742EE78008}">
      <text>
        <t>[Threaded comment]
Your version of Excel allows you to read this threaded comment; however, any edits to it will get removed if the file is opened in a newer version of Excel. Learn more: https://go.microsoft.com/fwlink/?linkid=870924
Comment:
    @Daniela Ramírez voy a eliminar la columna de requerido, pero si colocas 1 en la cantidad minima significa va a tener el mismo significado.</t>
      </text>
    </comment>
  </commentList>
</comment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<sst xmlns="http://schemas.openxmlformats.org/spreadsheetml/2006/main" count="817" uniqueCount="474">
  <si>
    <t>📌 Índice de Tablas</t>
  </si>
  <si>
    <t>Tabla</t>
  </si>
  <si>
    <t>Descripción</t>
  </si>
  <si>
    <t>Hoja</t>
  </si>
  <si>
    <t>AcademicDegree</t>
  </si>
  <si>
    <t>Grados académicos (Lic., Mg., Dr., etc.)</t>
  </si>
  <si>
    <t>AcademicTitle</t>
  </si>
  <si>
    <t>Títulos académicos con abreviación y género</t>
  </si>
  <si>
    <t>User</t>
  </si>
  <si>
    <t>Usuarios del sistema (estudiantes, profesores, admins)</t>
  </si>
  <si>
    <t>Student</t>
  </si>
  <si>
    <t>Datos adicionales de estudiantes</t>
  </si>
  <si>
    <t>ActivityType</t>
  </si>
  <si>
    <t>Tipos de actividad (Taller, Curso, etc.)</t>
  </si>
  <si>
    <t>Activity</t>
  </si>
  <si>
    <t>Actividades académicas registradas</t>
  </si>
  <si>
    <t>ParticipantType</t>
  </si>
  <si>
    <t>Tipos de participantes por actividad</t>
  </si>
  <si>
    <t>Participant</t>
  </si>
  <si>
    <t>Participantes en actividades</t>
  </si>
  <si>
    <t>Certificate</t>
  </si>
  <si>
    <t>Tipos de certificados disponibles</t>
  </si>
  <si>
    <t>CertificateTemplate</t>
  </si>
  <si>
    <t>Plantillas de certificados por tipo</t>
  </si>
  <si>
    <t>Request</t>
  </si>
  <si>
    <t>Solicitudes de certificados de usuarios</t>
  </si>
  <si>
    <t>OtherRequest</t>
  </si>
  <si>
    <t>Solicitudes de otro tipo</t>
  </si>
  <si>
    <t>QualificationExamGrade</t>
  </si>
  <si>
    <t>Notas de exámenes de calificación</t>
  </si>
  <si>
    <t>AcademicPeriod</t>
  </si>
  <si>
    <t>Períodos académicos (semestres, años)</t>
  </si>
  <si>
    <t>Leyenda:</t>
  </si>
  <si>
    <t xml:space="preserve">  Clave Primaria (PK) - Auto-generada</t>
  </si>
  <si>
    <t xml:space="preserve">  Clave Foránea (FK) - Referencia a otra tabla</t>
  </si>
  <si>
    <t xml:space="preserve">  Ver hoja ⚙️ Enumeraciones para valores válidos</t>
  </si>
  <si>
    <t>⚙️ Valores de Enumeraciones</t>
  </si>
  <si>
    <t>Gender</t>
  </si>
  <si>
    <t>Role</t>
  </si>
  <si>
    <t>RequestState</t>
  </si>
  <si>
    <t>MALE</t>
  </si>
  <si>
    <t>SUPERADMIN</t>
  </si>
  <si>
    <t>PENDING</t>
  </si>
  <si>
    <t>FEMALE</t>
  </si>
  <si>
    <t>ADMINISTRATOR</t>
  </si>
  <si>
    <t>REJECTED</t>
  </si>
  <si>
    <t>OTHER</t>
  </si>
  <si>
    <t>PROFESSOR</t>
  </si>
  <si>
    <t>APPROVED</t>
  </si>
  <si>
    <t>STUDENT</t>
  </si>
  <si>
    <t>CANCELED</t>
  </si>
  <si>
    <t>READY</t>
  </si>
  <si>
    <t>📋 Grados Academicos</t>
  </si>
  <si>
    <t>ℹ️ Catálogo de grados académicos. 'name' debe ser único.</t>
  </si>
  <si>
    <t>id</t>
  </si>
  <si>
    <t>Nombre</t>
  </si>
  <si>
    <t>UUID</t>
  </si>
  <si>
    <t>String (único)</t>
  </si>
  <si>
    <t>Auto-generado</t>
  </si>
  <si>
    <t>Ej: Licenciatura, Magíster</t>
  </si>
  <si>
    <t>name</t>
  </si>
  <si>
    <t>Magister</t>
  </si>
  <si>
    <t>Doctorado</t>
  </si>
  <si>
    <t>📋 Titulos Academicos</t>
  </si>
  <si>
    <t>ℹ️ Títulos con abreviación por género. Ver hoja ⚙️ Enumeraciones para valores de Gender.</t>
  </si>
  <si>
    <t>Id Grado Academico</t>
  </si>
  <si>
    <t>Grado Academico</t>
  </si>
  <si>
    <t>Sexo</t>
  </si>
  <si>
    <t>Abreviación</t>
  </si>
  <si>
    <t>UUID → AcademicDegree</t>
  </si>
  <si>
    <t>String</t>
  </si>
  <si>
    <t>FK obligatorio</t>
  </si>
  <si>
    <t>Nombre del grado academico</t>
  </si>
  <si>
    <t>MALE / FEMALE / OTHER</t>
  </si>
  <si>
    <t>Ej: Lic., Dr., Mg.</t>
  </si>
  <si>
    <t>academicDegreeId</t>
  </si>
  <si>
    <t>AcademicDegreeName</t>
  </si>
  <si>
    <t>gender</t>
  </si>
  <si>
    <t>abbrev</t>
  </si>
  <si>
    <t>Mg.</t>
  </si>
  <si>
    <t>Dra.</t>
  </si>
  <si>
    <t>Dr.</t>
  </si>
  <si>
    <t>📋 Usuarios</t>
  </si>
  <si>
    <t>ℹ️ Usuarios del sistema. Ver ⚙️ Enumeraciones para Gender y Role.</t>
  </si>
  <si>
    <t>rut</t>
  </si>
  <si>
    <t>Nombre completo</t>
  </si>
  <si>
    <t>email</t>
  </si>
  <si>
    <t>emailVerified</t>
  </si>
  <si>
    <t>image</t>
  </si>
  <si>
    <t>rol</t>
  </si>
  <si>
    <t>banned</t>
  </si>
  <si>
    <t>banReason</t>
  </si>
  <si>
    <t>banExpires</t>
  </si>
  <si>
    <t>¿Es director?</t>
  </si>
  <si>
    <t>Boolean</t>
  </si>
  <si>
    <t>String?</t>
  </si>
  <si>
    <t>DateTime?</t>
  </si>
  <si>
    <t>UUID? → AcademicDegree</t>
  </si>
  <si>
    <t>ID único (externo/auth)</t>
  </si>
  <si>
    <t>RUT con puntos con guión</t>
  </si>
  <si>
    <t>Correo electrónico</t>
  </si>
  <si>
    <t>true / false</t>
  </si>
  <si>
    <t>URL imagen (opcional)</t>
  </si>
  <si>
    <t>SUPERADMIN/ADMINISTRATOR/PROFESSOR/STUDENT</t>
  </si>
  <si>
    <t>Razón de bloqueo (opcional)</t>
  </si>
  <si>
    <t>Fecha expiración ban (opcional)</t>
  </si>
  <si>
    <t>FK opcional</t>
  </si>
  <si>
    <t>Nombre de grado academico</t>
  </si>
  <si>
    <t>role</t>
  </si>
  <si>
    <t>isDirector</t>
  </si>
  <si>
    <t>academicDegreeName</t>
  </si>
  <si>
    <t xml:space="preserve">Daniela Alejandra Ramírez Ñonque </t>
  </si>
  <si>
    <t>daniela.ramirez@ufrontera.cl</t>
  </si>
  <si>
    <t>Tamara Francisca Otzen Hernandez</t>
  </si>
  <si>
    <t xml:space="preserve">tamara.otzen@ufrontera.cl </t>
  </si>
  <si>
    <t>18.872.865-0</t>
  </si>
  <si>
    <t>15.516.791-2</t>
  </si>
  <si>
    <t>25.914.759-k</t>
  </si>
  <si>
    <t>LOUISE ZANELLA MARTINS</t>
  </si>
  <si>
    <t xml:space="preserve">Louise.zanella@ufrontera.cl </t>
  </si>
  <si>
    <t>13.102.702-8</t>
  </si>
  <si>
    <t>RODRIGO RIVERA CONCHA</t>
  </si>
  <si>
    <t xml:space="preserve">rodrigo.rivera@ufrontera.cl </t>
  </si>
  <si>
    <t xml:space="preserve">javier.alarcon.roa@gmail.com </t>
  </si>
  <si>
    <t>Estudiante</t>
  </si>
  <si>
    <t>l.albarracin01@ufromail.cl</t>
  </si>
  <si>
    <t>19.038.872-7</t>
  </si>
  <si>
    <t xml:space="preserve">javier.arriagadagacitua.nutri@gmail.com </t>
  </si>
  <si>
    <t>13.515.841-0</t>
  </si>
  <si>
    <t xml:space="preserve">sandra.catalan@ufrontera.cl </t>
  </si>
  <si>
    <t>16.947.247-5</t>
  </si>
  <si>
    <t xml:space="preserve">hudelmu@gmail.com </t>
  </si>
  <si>
    <t>g.duque01@ufromail.cl</t>
  </si>
  <si>
    <t>m.espinosa01@ufromail.cl</t>
  </si>
  <si>
    <t>19.001.022-8</t>
  </si>
  <si>
    <t xml:space="preserve">mirta.espinoza@ufrontera.cl </t>
  </si>
  <si>
    <t>m.garcia17@ufromail.cl</t>
  </si>
  <si>
    <t>16.840.562-6</t>
  </si>
  <si>
    <t>flgo.alvarogodoy@gmail.com</t>
  </si>
  <si>
    <t>e.guerrero01@ufromail.cl</t>
  </si>
  <si>
    <t>j.holguin01@ufromail.cl</t>
  </si>
  <si>
    <t xml:space="preserve">alejandra.landero@ufrontera.cl </t>
  </si>
  <si>
    <t>19.944.215-5</t>
  </si>
  <si>
    <t xml:space="preserve">nicolaslara.nls@gmail.com </t>
  </si>
  <si>
    <t>15652896K24</t>
  </si>
  <si>
    <t xml:space="preserve">pamela.lavados@ufrontera.cl </t>
  </si>
  <si>
    <t>m.mora14@ufromail.cl</t>
  </si>
  <si>
    <t>e.munoz26@ufromail.cl</t>
  </si>
  <si>
    <t>16.010.559-3</t>
  </si>
  <si>
    <t>o.navarrete03@ufromail.cl</t>
  </si>
  <si>
    <t>16.316.628-3</t>
  </si>
  <si>
    <t>g.quiroz02@ufromail.cl</t>
  </si>
  <si>
    <t xml:space="preserve">md.josue.rivadeneira@gmail.com </t>
  </si>
  <si>
    <t>c.salgado09@ufromail.cl</t>
  </si>
  <si>
    <t>10.543.488-K</t>
  </si>
  <si>
    <t>s.sotelo01@ufromail.cl</t>
  </si>
  <si>
    <t>14.061.647-8</t>
  </si>
  <si>
    <t>p.vasquez12@ufromail.cl</t>
  </si>
  <si>
    <t>📋 Estudiantes</t>
  </si>
  <si>
    <t>ℹ️ Extiende User con datos del estudiante. Relación 1:1 con User.</t>
  </si>
  <si>
    <t>Matricula</t>
  </si>
  <si>
    <t>nombre de usuario</t>
  </si>
  <si>
    <t>userId</t>
  </si>
  <si>
    <t>¿Es regular?</t>
  </si>
  <si>
    <t>Fecha de admisión</t>
  </si>
  <si>
    <t>Int (único)</t>
  </si>
  <si>
    <t>String → User</t>
  </si>
  <si>
    <t>DateTime</t>
  </si>
  <si>
    <t>Número de matrícula</t>
  </si>
  <si>
    <t>FK único, un estudiante por usuario</t>
  </si>
  <si>
    <t>Fecha admisión (ISO 8601)</t>
  </si>
  <si>
    <t>studentId</t>
  </si>
  <si>
    <t>userName</t>
  </si>
  <si>
    <t>isRegularStudent</t>
  </si>
  <si>
    <t>admisionDate</t>
  </si>
  <si>
    <t>10543488K19</t>
  </si>
  <si>
    <t>📋 Tipo de Actividad</t>
  </si>
  <si>
    <t>ℹ️ Catálogo de tipos de actividad.</t>
  </si>
  <si>
    <t>Ej: Taller, Congreso, Curso</t>
  </si>
  <si>
    <t>Congreso</t>
  </si>
  <si>
    <t>Seminario</t>
  </si>
  <si>
    <t>Taller</t>
  </si>
  <si>
    <t xml:space="preserve">Curso </t>
  </si>
  <si>
    <t xml:space="preserve">Presentación </t>
  </si>
  <si>
    <t xml:space="preserve">Examen de Grado </t>
  </si>
  <si>
    <t xml:space="preserve">Examen de Calificacion </t>
  </si>
  <si>
    <t>📋 Actividades</t>
  </si>
  <si>
    <t>ℹ️ Actividades académicas. Formato fecha: YYYY-MM-DD o YYYY-MM-DDTHH:MM:SS</t>
  </si>
  <si>
    <t>Nombre de tipo de actividad</t>
  </si>
  <si>
    <t>activityTypeId</t>
  </si>
  <si>
    <t>Nombre de la actividad</t>
  </si>
  <si>
    <t>Fecha incio</t>
  </si>
  <si>
    <t>Fecha término (opcional)</t>
  </si>
  <si>
    <t>Asistentes</t>
  </si>
  <si>
    <t>nParticipants</t>
  </si>
  <si>
    <t>UUID → ActivityType</t>
  </si>
  <si>
    <t>Int?</t>
  </si>
  <si>
    <t>Int</t>
  </si>
  <si>
    <t>Fecha inicio (ISO 8601)</t>
  </si>
  <si>
    <t>N° asistentes (opcional)</t>
  </si>
  <si>
    <t>N° participantes requeridos</t>
  </si>
  <si>
    <t>activityTypeName</t>
  </si>
  <si>
    <t>startAt</t>
  </si>
  <si>
    <t>endAt</t>
  </si>
  <si>
    <t>nAssistant</t>
  </si>
  <si>
    <t>nParticipant</t>
  </si>
  <si>
    <t>Técnica de microplastinación para el estudio ultraestructural de la unión Dentogingival. Estudio Morfológico Descriptivo</t>
  </si>
  <si>
    <t>📋 Tipo de participante</t>
  </si>
  <si>
    <t>ℹ️ Define qué tipo de participantes puede tener cada tipo de actividad.</t>
  </si>
  <si>
    <t>Roles permitidos (separados por coma)</t>
  </si>
  <si>
    <t>Nombre tipo de actividad</t>
  </si>
  <si>
    <t>Role[]</t>
  </si>
  <si>
    <t>UUID? → ActivityType</t>
  </si>
  <si>
    <t>Ej: Expositor, Asistente</t>
  </si>
  <si>
    <t>roles</t>
  </si>
  <si>
    <t>Tesista</t>
  </si>
  <si>
    <t xml:space="preserve">Tutor de Tesis </t>
  </si>
  <si>
    <t xml:space="preserve">Evaluador Externo </t>
  </si>
  <si>
    <t xml:space="preserve">Expositor </t>
  </si>
  <si>
    <t xml:space="preserve">Participante </t>
  </si>
  <si>
    <t>Relator</t>
  </si>
  <si>
    <t xml:space="preserve">Asistente </t>
  </si>
  <si>
    <t>📋 Participantes</t>
  </si>
  <si>
    <t>ℹ️ Registra la participación de un usuario en una actividad.</t>
  </si>
  <si>
    <t>nombre actividad</t>
  </si>
  <si>
    <t>nombre del usuario</t>
  </si>
  <si>
    <t>Nombre del tipo de participante</t>
  </si>
  <si>
    <t>activityId</t>
  </si>
  <si>
    <t>participantTypeId</t>
  </si>
  <si>
    <t>Horas de participación</t>
  </si>
  <si>
    <t>Fecha inicio participación (opcional)</t>
  </si>
  <si>
    <t>Fecha fin participación (opcional)</t>
  </si>
  <si>
    <t>UUID → Activity</t>
  </si>
  <si>
    <t>UUID → User</t>
  </si>
  <si>
    <t>UUID → ParticipantType</t>
  </si>
  <si>
    <t>activityName</t>
  </si>
  <si>
    <t>participantTypeName</t>
  </si>
  <si>
    <t>hours</t>
  </si>
  <si>
    <t>📋 Certificado</t>
  </si>
  <si>
    <t>ℹ️ Catálogo de tipos de certificados disponibles.</t>
  </si>
  <si>
    <t>Nombre Certificado</t>
  </si>
  <si>
    <t>Nombre del tipo de certificado</t>
  </si>
  <si>
    <t xml:space="preserve">Alumno Regular </t>
  </si>
  <si>
    <t>Examen de Calificación</t>
  </si>
  <si>
    <t xml:space="preserve">Presentación Línea de investigación </t>
  </si>
  <si>
    <t>📋 Plantilla de certificado</t>
  </si>
  <si>
    <t>ℹ️ Plantillas de certificados segmentadas por rol y tipo de actividad.</t>
  </si>
  <si>
    <t>nombre de certificado</t>
  </si>
  <si>
    <t>certificateId</t>
  </si>
  <si>
    <t>Plantilla</t>
  </si>
  <si>
    <t>UUID → Certificate</t>
  </si>
  <si>
    <t>Role?</t>
  </si>
  <si>
    <t>UUID? → ParticipantType</t>
  </si>
  <si>
    <t>Rol específico (opcional)</t>
  </si>
  <si>
    <t>Contenido HTML/texto de la plantilla</t>
  </si>
  <si>
    <t>certificateName</t>
  </si>
  <si>
    <t>template</t>
  </si>
  <si>
    <t>📋 Examenes</t>
  </si>
  <si>
    <t>ℹ️ Notas de exámenes de calificación. Un registro por estudiante-actividad.</t>
  </si>
  <si>
    <t>studentName</t>
  </si>
  <si>
    <t>grade</t>
  </si>
  <si>
    <t>UUID → Student</t>
  </si>
  <si>
    <t>Float</t>
  </si>
  <si>
    <t>Nombre de estudiante</t>
  </si>
  <si>
    <t>Nota (Ej: 4.5, 6.0)</t>
  </si>
  <si>
    <t>📋Periodo Academico</t>
  </si>
  <si>
    <t>ℹ️ Períodos académicos (semestres, años lectivos).</t>
  </si>
  <si>
    <t>Fecha inicio período</t>
  </si>
  <si>
    <t>Fecha término período</t>
  </si>
  <si>
    <t>active</t>
  </si>
  <si>
    <t>Actual</t>
  </si>
  <si>
    <t>createdBy</t>
  </si>
  <si>
    <t>Ej: 2024-1, 2024-2</t>
  </si>
  <si>
    <t>¿Es el periodo actual?</t>
  </si>
  <si>
    <t>ID del usuario que creó</t>
  </si>
  <si>
    <t>Minima cantidad</t>
  </si>
  <si>
    <t>max</t>
  </si>
  <si>
    <t xml:space="preserve"> min</t>
  </si>
  <si>
    <t>Maxima cantidad</t>
  </si>
  <si>
    <t>Maxima cantidad de veces que el tipo se puede repetir dentro de una actividad, este valor es opcional,si no tiene valor puede repetirse infinitamente.</t>
  </si>
  <si>
    <t>Minima cantidad de veces que el tipo se puede repetir en una actividad, este valor es opcional si no tiene valor significa que no es requierido.</t>
  </si>
  <si>
    <t>6,8</t>
  </si>
  <si>
    <t>Tipo de actividad</t>
  </si>
  <si>
    <t>Tipo de participante</t>
  </si>
  <si>
    <t>Nombre de tipo de particpante</t>
  </si>
  <si>
    <t>Evaluador Interno</t>
  </si>
  <si>
    <t>Asistente</t>
  </si>
  <si>
    <t>5cecf3f6-b2ab-4696-97e8-d9c89a228286</t>
  </si>
  <si>
    <t>dcc2ef82-42b2-47c6-9840-e231e11238fd</t>
  </si>
  <si>
    <t>39bd83ef-3cbb-4f8e-aaa3-66b498e2315c</t>
  </si>
  <si>
    <t>71bd7965-8738-4bad-bbe3-352a0aaf95b1</t>
  </si>
  <si>
    <t>f77b39d3-a58f-4ca6-a82f-e38696181065</t>
  </si>
  <si>
    <t>ad4ea904-6d98-485b-b23d-970402a2a834</t>
  </si>
  <si>
    <t>48fecb0f-8efa-451d-b1ab-d2d2d2fbca6a</t>
  </si>
  <si>
    <t>b6042f47-98fa-4b9a-a1a2-2364b5679160</t>
  </si>
  <si>
    <t>527f1cf9-eeab-44e2-b3bd-bc5937c0ebb3</t>
  </si>
  <si>
    <t>e1860dc2-b15e-44ce-9071-efac840acd71</t>
  </si>
  <si>
    <t>d0fa7512-068f-41c5-9664-d0bda5ab1c8b</t>
  </si>
  <si>
    <t>9e4c0561-fe78-4e2b-bb06-56ea563c0251</t>
  </si>
  <si>
    <t>1cf0949e-5637-4bf1-b535-0fbc2045d2e8</t>
  </si>
  <si>
    <t>05590cb0-b2ae-4c59-bb8d-809a65f8479b</t>
  </si>
  <si>
    <t>339d6339-82e9-4197-bde1-5f4f4ea32e34</t>
  </si>
  <si>
    <t>b02bbda1-8b73-477b-ae12-2f78d5538ad4</t>
  </si>
  <si>
    <t>c1364d84-faff-488b-91ba-9fa5e9f62d0f</t>
  </si>
  <si>
    <t>601a0adc-df63-45a8-aa49-9ab62a2048f7</t>
  </si>
  <si>
    <t>e51422bd-8c53-4118-8161-2447e43e7377</t>
  </si>
  <si>
    <t>d55c3e34-92cd-49e0-9d59-2c46346414ce</t>
  </si>
  <si>
    <t>69cc6f89-bbd0-4a4f-88b8-1655c4946f3c</t>
  </si>
  <si>
    <t>2f1b54e3-1d63-4f76-80e3-b1a155929ca2</t>
  </si>
  <si>
    <t>f7d62616-a293-4b1e-87ac-f1220e7c698c</t>
  </si>
  <si>
    <t>bd37f063-7265-44d5-91fd-3bf0f61d0f88</t>
  </si>
  <si>
    <t>c9fd928b-ca48-43db-94ae-f279564b0c20</t>
  </si>
  <si>
    <t>a0fb461c-9d29-45f9-8931-b330dd92dac0</t>
  </si>
  <si>
    <t>ffa32fa8-418c-4f7b-bae0-470f36c8c6cb</t>
  </si>
  <si>
    <t>e79434b0-2f63-44f0-ad7a-41fbbb8b7c26</t>
  </si>
  <si>
    <t>918a8288-546f-4604-9d0f-5a0822ecb1ef</t>
  </si>
  <si>
    <t>d2ae3562-f58e-45f8-bf39-983f1df3165a</t>
  </si>
  <si>
    <t>587cd7cf-0699-45d0-ba45-f175eb0c42ef</t>
  </si>
  <si>
    <t>1b837863-eda2-4825-b1a6-01d92f77e21d</t>
  </si>
  <si>
    <t>cbf6a28a-5263-4726-b77a-e881c94cf987</t>
  </si>
  <si>
    <t>31878bfc-6caf-4312-a018-f50392e7f64e</t>
  </si>
  <si>
    <t>7ea4e8ec-d20f-4c34-a8bc-cded1ac29e16</t>
  </si>
  <si>
    <t>f3841917-9206-4a39-89f8-0ead839c916a</t>
  </si>
  <si>
    <t>c6a6c2bf-f0b1-4279-a5e5-6a02a9cae47a</t>
  </si>
  <si>
    <t>a40b6fb9-d22e-4e38-a113-86e7d99c71f7</t>
  </si>
  <si>
    <t>fbb9699c-d90f-4a32-99c6-99a020c02dc7</t>
  </si>
  <si>
    <t>beeee105-41aa-41a2-a603-b41131125ef4</t>
  </si>
  <si>
    <t>ace94087-92f9-4ed2-adef-76f4e614caa5</t>
  </si>
  <si>
    <t>d43245c2-8c15-45f0-8d4a-9e654d9584f3</t>
  </si>
  <si>
    <t>6ed78933-13cb-4533-87eb-bb9fc89102d1</t>
  </si>
  <si>
    <t>2eb2931d-ff56-4074-9acf-006a6d78813d</t>
  </si>
  <si>
    <t>9f45664e-8ffe-4a58-afa6-8cd1ed6d1049</t>
  </si>
  <si>
    <t>0410071e-f4e8-47f5-b25e-519bf60bd616</t>
  </si>
  <si>
    <t>bf0c8121-dd10-4acd-a8c7-618055442940</t>
  </si>
  <si>
    <t>fb352908-d42f-4844-8945-f3a11382bd13</t>
  </si>
  <si>
    <t>7d5d61a2-40eb-41a0-9f2b-609ffd377244</t>
  </si>
  <si>
    <t>ba48c2f4-2d56-430b-9ca3-bf2234b59bef</t>
  </si>
  <si>
    <t>53024879-3fc1-417f-87ea-27c2cbfc4f62</t>
  </si>
  <si>
    <t>6d6a5acf-6cd0-4b14-86f2-fa36d43aa165</t>
  </si>
  <si>
    <t>ef07d2bd-3d0e-4c8f-bd0d-1ae1356374f3</t>
  </si>
  <si>
    <t>b962da9b-7a1d-4da0-a402-4931d981f5ae</t>
  </si>
  <si>
    <t>3a28e90d-d342-44dc-b48e-04795513020e</t>
  </si>
  <si>
    <t>25e59145-48ef-459a-a097-1b743d4005eb</t>
  </si>
  <si>
    <t>15f9d8ae-ae3a-47ca-8ea0-1c048215f1b5</t>
  </si>
  <si>
    <t>5437571d-3796-4d72-88f5-3776267c2a4a</t>
  </si>
  <si>
    <t>2215d097-48fa-4e86-ac35-17db78bead17</t>
  </si>
  <si>
    <t>28c19a0c-647b-47b5-8a02-76ecc3327df3</t>
  </si>
  <si>
    <t>c928dfd3-c486-4917-9e97-64cc792fdc7e</t>
  </si>
  <si>
    <t>ebb336a4-c41c-4d04-bb23-4d6a2f915137</t>
  </si>
  <si>
    <t>a1ac19cf-1f0c-4865-8eaa-5ca06099b659</t>
  </si>
  <si>
    <t>d1ef0cea-6802-4f90-8013-280870c70771</t>
  </si>
  <si>
    <t>ddfcc1c0-36bd-4161-81ea-59e3609534ad</t>
  </si>
  <si>
    <t>85f60830-4623-4674-85aa-a5474a0b46f4</t>
  </si>
  <si>
    <t>5e86aa49-b6ee-4e13-944d-38edca71e801</t>
  </si>
  <si>
    <t>09642418-bf20-4666-82d0-b788c9b0ed3c</t>
  </si>
  <si>
    <t>b7e61ece-43c4-4d64-b582-d5643bbfa3f6</t>
  </si>
  <si>
    <t>ef53f4ed-d1ef-429b-b055-2b068c2366fe</t>
  </si>
  <si>
    <t>410b120b-7954-4ea7-a0a6-e3db9b56db5b</t>
  </si>
  <si>
    <t>7912b3a7-49f3-43f0-8d20-0cb347684903</t>
  </si>
  <si>
    <t>6217af01-130c-4a17-b46f-281dc702b5c2</t>
  </si>
  <si>
    <t>49a226e4-b8bc-4885-a1ba-f273c63ab27f</t>
  </si>
  <si>
    <t>94649ac9-39f7-4e95-a30c-5e9ad32fd8a8</t>
  </si>
  <si>
    <t>ea897a3b-161e-4670-9389-2d685e3cc2cd</t>
  </si>
  <si>
    <t>3752693b-7698-4acc-8b27-c933143b08cb</t>
  </si>
  <si>
    <t>52847597-89df-483d-b284-877da291b255</t>
  </si>
  <si>
    <t>c7302781-1d28-47c1-b82c-b4052ff1c26f</t>
  </si>
  <si>
    <t>e058437f-dfd2-4aa0-92eb-8e13f686b90b</t>
  </si>
  <si>
    <t>5b8a57a3-4284-4a02-a7e4-cc2181a9aad4</t>
  </si>
  <si>
    <t>0d4a5519-dcfe-4e22-a7a7-801d35603c94</t>
  </si>
  <si>
    <t>673dd070-f71e-4205-be6b-34a6df0759d4</t>
  </si>
  <si>
    <t>ab6faddf-efa8-4987-a70a-a8b04ff7c395</t>
  </si>
  <si>
    <t>4764e10b-d983-43cc-a383-9d71a9d3e3cf</t>
  </si>
  <si>
    <t>127782dc-efae-40cf-a477-558cb5ac3ae8</t>
  </si>
  <si>
    <t>e5b15ec4-ee14-40b4-9113-c53055d7fbcf</t>
  </si>
  <si>
    <t>a3ba3081-f86d-4023-8aa9-1d15a2fe3201</t>
  </si>
  <si>
    <t>d631d6f6-a6f1-43e9-9fa0-553e1fea0005</t>
  </si>
  <si>
    <t>ea7cbe1b-79cd-4211-b05d-524bf25b9fe7</t>
  </si>
  <si>
    <t>d39ed8b2-e701-43ab-afe9-62f62a2775cd</t>
  </si>
  <si>
    <t>bd013d3c-1ca1-4739-81df-e1cb56429df9</t>
  </si>
  <si>
    <t>27f976de-9c3d-471d-883b-02c64ef92106</t>
  </si>
  <si>
    <t>beca5c52-4f46-4fe9-9543-b76c28d20f4a</t>
  </si>
  <si>
    <t>d202a25d-fd60-457f-b380-3a35422b8535</t>
  </si>
  <si>
    <t>2026-1</t>
  </si>
  <si>
    <t>2026-2</t>
  </si>
  <si>
    <t>d48f3bb1-3ae3-4dd0-94ee-cb7188586035</t>
  </si>
  <si>
    <t>15.978.907-1</t>
  </si>
  <si>
    <t>00171453821</t>
  </si>
  <si>
    <t>00641264519</t>
  </si>
  <si>
    <t>00171689121</t>
  </si>
  <si>
    <t>00102698421</t>
  </si>
  <si>
    <t>00172044922</t>
  </si>
  <si>
    <t>00595726520</t>
  </si>
  <si>
    <t>01019743018</t>
  </si>
  <si>
    <t>00110387320</t>
  </si>
  <si>
    <t>04273376822</t>
  </si>
  <si>
    <t>LORENA CARLOTA ALBARRACIN NAVAS</t>
  </si>
  <si>
    <t>JAVIER IGNACIO ARRIAGADA GACITÚA</t>
  </si>
  <si>
    <t>JAVIER HERNAN ALARCON ROA</t>
  </si>
  <si>
    <t>SANDRA PAULINA CATALAN MONSALVE</t>
  </si>
  <si>
    <t>HUGO ALFREDO DELGADO MUÑOZ</t>
  </si>
  <si>
    <t>GALO RUBEN DUQUE PROAÑO</t>
  </si>
  <si>
    <t>MARIA ELENA ESPINOSA GONZALEZ</t>
  </si>
  <si>
    <t>MIRTA ANDREA ESPINOZA CID</t>
  </si>
  <si>
    <t>MARIA FERNANDA GARCIA AGUILERA</t>
  </si>
  <si>
    <t>ÁLVARO IGNACIO GODOY DÍAZ</t>
  </si>
  <si>
    <t>ENMANUEL ISIDORO GUERRERO QUIROZ</t>
  </si>
  <si>
    <t>JUAN PABLO HOLGUIN CARVAJAL</t>
  </si>
  <si>
    <t>MARIELA ALEJANDRA LANDERO FUENTES</t>
  </si>
  <si>
    <t>NICOLÁS IGNACIO LARA SALAS</t>
  </si>
  <si>
    <t>PAMELA CONSTANZA LAVADOS ROMO</t>
  </si>
  <si>
    <t>MIRIANN ALEXANDRA MORA VERDUGO</t>
  </si>
  <si>
    <t>EUDOXIA GEORGINA MUÑOZ ORTIZ</t>
  </si>
  <si>
    <t>ORIETA DEL PILAR NAVARRETE FERNANDEZ</t>
  </si>
  <si>
    <t>GUISSELA ROMANE QUIROZ SIEVERS</t>
  </si>
  <si>
    <t>JOSUE DAVID RIVADENEIRA DUEÑAS</t>
  </si>
  <si>
    <t>RODRIGO ALBERTO RIVERA CONCHA</t>
  </si>
  <si>
    <t>CARLA MARINA SALGADO CASTILLO</t>
  </si>
  <si>
    <t>SERGIO ANTONIO SOTELO HERNANDEZ</t>
  </si>
  <si>
    <t>PAULINA ANTONIA VASQUEZ AGUILAR</t>
  </si>
  <si>
    <t xml:space="preserve">Dictar clases </t>
  </si>
  <si>
    <t>Participación en seminario</t>
  </si>
  <si>
    <t xml:space="preserve">Participación congreso </t>
  </si>
  <si>
    <t>33897fdb-f389-42f5-856b-29caf08a15eb</t>
  </si>
  <si>
    <t>2311ca16-d596-42b6-9b53-f0799242590f2</t>
  </si>
  <si>
    <t>startDate</t>
  </si>
  <si>
    <t>endDate</t>
  </si>
  <si>
    <t>isCurrent</t>
  </si>
  <si>
    <t xml:space="preserve">STUDENT,PROFESSOR </t>
  </si>
  <si>
    <t>61da7ead-13e4-45a7-ba32-8afc99667108</t>
  </si>
  <si>
    <t>20.488.616-4</t>
  </si>
  <si>
    <t>Tomás Alonso Bravo Cañete</t>
  </si>
  <si>
    <t>tomas.b.c@outlook.com</t>
  </si>
  <si>
    <t>27f35774-0b46-4dd3-a4f5-83c5242ddc25</t>
  </si>
  <si>
    <t>Isidora Acevedo</t>
  </si>
  <si>
    <t>isi.acevedog8625@gmail.com</t>
  </si>
  <si>
    <t>20.643.500-3</t>
  </si>
  <si>
    <t>4908a18d-bbc2-42bf-9374-f4b4874eedc0</t>
  </si>
  <si>
    <t>Super Administrador</t>
  </si>
  <si>
    <t>admin@constancias.cl</t>
  </si>
  <si>
    <t>1f98ae56-e075-430e-9ef3-5e77124f2099</t>
  </si>
  <si>
    <t>15.652.896-K</t>
  </si>
  <si>
    <t>16.794.686-0</t>
  </si>
  <si>
    <t xml:space="preserve">{director.academicDegree.title[0].abbrev director.name}, {user.gender==MALE?Director:Directora} del Programa de Doctorado en Ciencias Médicas, de la Universidad de La Frontera, deja constancia que {user.name}, Matrícula Nº {user.student.studentId}, es {user.gender==MALE?alumno:alumna} regular de nuestro programa, desde {user.student.admisionYear}, a la fecha. </t>
  </si>
  <si>
    <r>
      <t>{director.academicDegree.title[0].abbrev director.name}, {director.gender==MALE?Director:Directora} del Programa de Doctorado en Ciencias Médicas, de la Universidad de La Frontera, deja constancia que la {user.academicDegree.title[0].abbrev user.name}, realizó el día {activity.startAt} una</t>
    </r>
    <r>
      <rPr>
        <b/>
        <i/>
        <sz val="14"/>
        <color rgb="FF000000"/>
        <rFont val="Calibri"/>
        <family val="2"/>
      </rPr>
      <t xml:space="preserve"> charla de presentación de su línea de investigación, </t>
    </r>
    <r>
      <rPr>
        <i/>
        <sz val="14"/>
        <color rgb="FF000000"/>
        <rFont val="Calibri"/>
        <family val="2"/>
      </rPr>
      <t>dirigida a los estudiantes y docentes del Doctorado en Ciencias Médicas.</t>
    </r>
  </si>
  <si>
    <t>{director.academicDegree.title[0].abbrev director.name}, {director.gender==MALE?Director:Directora} del Programa de Doctorado en Ciencias Médicas, de la Universidad de La Frontera, deja constancia que {user.name}, participó como Tutor de Tesis y Evaluador interno en el examen de grado del Estudiante, llevada a cabo el {activity.startAt}, Tesis Titulada “{activity.name}” </t>
  </si>
  <si>
    <t>{director.academicDegree.title[0].abbrev director.name}, {director.gender==MALE?Director:Directora} del Programa de Doctorado en Ciencias Médicas, de la Universidad de La Frontera, deja constancia que {user.name}, matrícula Nº {user.student.studentId}, RUT {user.rut}, es {user.gender==MALE?alumno:alumna} regular de nuestro programa y que con fecha {activity.startAt}, aprobó su examen de calificación con nota: {user.exam[0].grade}</t>
  </si>
  <si>
    <t>Louise Zanella Martins</t>
  </si>
  <si>
    <t>Rodrigo Rivera Concha</t>
  </si>
  <si>
    <t>Javier Hernan Alarcon Roa</t>
  </si>
  <si>
    <t>Lorena Carlota Albarracin Navas</t>
  </si>
  <si>
    <t>Javier Ignacio Arriagada Gacitúa</t>
  </si>
  <si>
    <t>Sandra Paulina Catalan Monsalve</t>
  </si>
  <si>
    <t>Hugo Alfredo Delgado Muñoz</t>
  </si>
  <si>
    <t>Galo Ruben Duque Proaño</t>
  </si>
  <si>
    <t>Maria Elena Espinosa Gonzalez</t>
  </si>
  <si>
    <t>Mirta Andrea Espinoza Cid</t>
  </si>
  <si>
    <t>Maria Fernanda Garcia Aguilera</t>
  </si>
  <si>
    <t>Álvaro Ignacio Godoy Díaz</t>
  </si>
  <si>
    <t>Enmanuel Isidoro Guerrero Quiroz</t>
  </si>
  <si>
    <t>Juan Pablo Holguin Carvajal</t>
  </si>
  <si>
    <t>Mariela Alejandra Landero Fuentes</t>
  </si>
  <si>
    <t>Nicolás Ignacio Lara Salas</t>
  </si>
  <si>
    <t>Pamela Constanza Lavados Romo</t>
  </si>
  <si>
    <t>Miriann Alexandra Mora Verdugo</t>
  </si>
  <si>
    <t>Eudoxia Georgina Muñoz Ortiz</t>
  </si>
  <si>
    <t>Orieta Del Pilar Navarrete Fernandez</t>
  </si>
  <si>
    <t>Guissela Romane Quiroz Sievers</t>
  </si>
  <si>
    <t>Josue David Rivadeneira Dueñas</t>
  </si>
  <si>
    <t>Carla Marina Salgado Castillo</t>
  </si>
  <si>
    <t>Sergio Antonio Sotelo Hernandez</t>
  </si>
  <si>
    <t>Paulina Antonia Vasquez Aguilar</t>
  </si>
  <si>
    <r>
      <t xml:space="preserve">{director.academicDegree.title[0].abbrev director.name}, {director.gender==MALE?Director:Directora} del </t>
    </r>
    <r>
      <rPr>
        <b/>
        <sz val="11"/>
        <color rgb="FF000000"/>
        <rFont val="Trebuchet MS"/>
      </rPr>
      <t>Programa de Doctorado en Ciencias Médicas</t>
    </r>
    <r>
      <rPr>
        <sz val="11"/>
        <color rgb="FF000000"/>
        <rFont val="Trebuchet MS"/>
      </rPr>
      <t xml:space="preserve"> de la Universidad de La Frontera, deja constancia que {user.name}, {user.rut}, ha impartido docencia para los alumnos del programa de acuerdo al siguiente detalle:
  -     Durante {activity.name} con el rol de {user.participants[0].participantType.name} un total de {user.participants[0].hours} horas en el semestre {user.participants[0].startAt} </t>
    </r>
  </si>
  <si>
    <t>8db366bd-48a8-4a70-bb6f-ed3e26e846ae</t>
  </si>
  <si>
    <t>Solicitud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</si>
</sst>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4"/>
      <color rgb="FFFFFFFF"/>
      <name val="Arial"/>
    </font>
    <font>
      <i/>
      <sz val="9"/>
      <color rgb="FF555555"/>
      <name val="Arial"/>
    </font>
    <font>
      <i/>
      <sz val="9"/>
      <color rgb="FF444444"/>
      <name val="Arial"/>
    </font>
    <font>
      <i/>
      <sz val="8"/>
      <color rgb="FF888888"/>
      <name val="Arial"/>
    </font>
    <font>
      <b/>
      <sz val="10"/>
      <name val="Arial"/>
    </font>
    <font>
      <sz val="9"/>
      <name val="Arial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i/>
      <sz val="9"/>
      <color rgb="FF444444"/>
      <name val="Arial"/>
      <family val="2"/>
    </font>
    <font>
      <i/>
      <sz val="8"/>
      <color rgb="FF888888"/>
      <name val="Arial"/>
      <family val="2"/>
    </font>
    <font>
      <sz val="11"/>
      <color rgb="FF000000"/>
      <name val="Aptos Narrow"/>
      <family val="2"/>
      <charset val="1"/>
    </font>
    <font>
      <sz val="11"/>
      <color rgb="FF000000"/>
      <name val="Aptos Narrow"/>
      <charset val="1"/>
    </font>
    <font>
      <i/>
      <sz val="14"/>
      <color rgb="FF000000"/>
      <name val="Calibri"/>
    </font>
    <font>
      <sz val="11"/>
      <color rgb="FF000000"/>
      <name val="Trebuchet MS"/>
    </font>
    <font>
      <b/>
      <sz val="11"/>
      <color rgb="FF000000"/>
      <name val="Trebuchet MS"/>
    </font>
    <font>
      <sz val="12"/>
      <color rgb="FF000000"/>
      <name val="Trebuchet MS"/>
      <charset val="1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i/>
      <sz val="14"/>
      <color rgb="FF000000"/>
      <name val="Calibri"/>
      <family val="2"/>
    </font>
    <font>
      <b/>
      <i/>
      <sz val="14"/>
      <color rgb="FF000000"/>
      <name val="Calibri"/>
      <family val="2"/>
    </font>
    <font>
      <sz val="11"/>
      <color rgb="FF000000"/>
      <name val="Trebuchet MS"/>
      <family val="2"/>
    </font>
    <font>
      <sz val="12"/>
      <color theme="1"/>
      <name val="Trebuchet MS"/>
      <family val="2"/>
      <charset val="1"/>
    </font>
    <font>
      <sz val="11"/>
      <color theme="1"/>
      <name val="Trebuchet MS"/>
      <family val="2"/>
    </font>
  </fonts>
  <fills count="19">
    <fill>
      <patternFill patternType="none"/>
    </fill>
    <fill>
      <patternFill patternType="gray125"/>
    </fill>
    <fill>
      <patternFill patternType="solid">
        <fgColor rgb="FF6B4F8A"/>
      </patternFill>
    </fill>
    <fill>
      <patternFill patternType="solid">
        <fgColor rgb="FF8B6FB0"/>
      </patternFill>
    </fill>
    <fill>
      <patternFill patternType="solid">
        <fgColor rgb="FFFFF3B0"/>
      </patternFill>
    </fill>
    <fill>
      <patternFill patternType="solid">
        <fgColor rgb="FF2D6A4F"/>
      </patternFill>
    </fill>
    <fill>
      <patternFill patternType="solid">
        <fgColor rgb="FF52B788"/>
      </patternFill>
    </fill>
    <fill>
      <patternFill patternType="solid">
        <fgColor rgb="FFFFFFFF"/>
      </patternFill>
    </fill>
    <fill>
      <patternFill patternType="solid">
        <fgColor rgb="FFF0FFF4"/>
      </patternFill>
    </fill>
    <fill>
      <patternFill patternType="solid">
        <fgColor rgb="FFE9F5DB"/>
      </patternFill>
    </fill>
    <fill>
      <patternFill patternType="solid">
        <fgColor rgb="FFB7E4C7"/>
      </patternFill>
    </fill>
    <fill>
      <patternFill patternType="solid">
        <fgColor rgb="FFE8F4F8"/>
      </patternFill>
    </fill>
    <fill>
      <patternFill patternType="solid">
        <fgColor rgb="FFF9F9F9"/>
      </patternFill>
    </fill>
    <fill>
      <patternFill patternType="solid">
        <fgColor rgb="FFD8F3DC"/>
      </patternFill>
    </fill>
    <fill>
      <patternFill patternType="solid">
        <fgColor rgb="FFFFFFFF"/>
        <bgColor indexed="64"/>
      </patternFill>
    </fill>
    <fill>
      <patternFill patternType="solid">
        <bgColor rgb="FFF0FFF4"/>
      </patternFill>
    </fill>
    <fill>
      <patternFill patternType="solid">
        <fgColor rgb="FFF0FFF4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bgColor rgb="FFFFFFFF"/>
      </patternFill>
    </fill>
  </fills>
  <borders count="2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theme="2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theme="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theme="6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15">
    <xf numFmtId="0" fontId="0" fillId="0" borderId="0" xfId="0"/>
    <xf numFmtId="0" fontId="2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vertical="top"/>
    </xf>
    <xf numFmtId="0" fontId="3" fillId="8" borderId="1" xfId="0" applyFont="1" applyFill="1" applyBorder="1" applyAlignment="1">
      <alignment vertical="top"/>
    </xf>
    <xf numFmtId="0" fontId="8" fillId="0" borderId="0" xfId="0" applyFont="1"/>
    <xf numFmtId="0" fontId="9" fillId="10" borderId="1" xfId="0" applyFont="1" applyFill="1" applyBorder="1"/>
    <xf numFmtId="0" fontId="9" fillId="13" borderId="1" xfId="0" applyFont="1" applyFill="1" applyBorder="1"/>
    <xf numFmtId="0" fontId="9" fillId="4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vertical="top"/>
    </xf>
    <xf numFmtId="0" fontId="11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8" borderId="1" xfId="0" applyFont="1" applyFill="1" applyBorder="1" applyAlignment="1">
      <alignment vertical="top"/>
    </xf>
    <xf numFmtId="0" fontId="3" fillId="8" borderId="2" xfId="0" applyFont="1" applyFill="1" applyBorder="1" applyAlignment="1">
      <alignment vertical="top"/>
    </xf>
    <xf numFmtId="0" fontId="3" fillId="8" borderId="3" xfId="0" applyFont="1" applyFill="1" applyBorder="1" applyAlignment="1">
      <alignment vertical="top"/>
    </xf>
    <xf numFmtId="0" fontId="3" fillId="7" borderId="3" xfId="0" applyFont="1" applyFill="1" applyBorder="1" applyAlignment="1">
      <alignment vertical="top"/>
    </xf>
    <xf numFmtId="0" fontId="3" fillId="7" borderId="8" xfId="0" applyFont="1" applyFill="1" applyBorder="1" applyAlignment="1">
      <alignment vertical="top"/>
    </xf>
    <xf numFmtId="0" fontId="12" fillId="8" borderId="4" xfId="0" applyFont="1" applyFill="1" applyBorder="1" applyAlignment="1">
      <alignment vertical="top"/>
    </xf>
    <xf numFmtId="0" fontId="12" fillId="8" borderId="6" xfId="0" applyFont="1" applyFill="1" applyBorder="1" applyAlignment="1">
      <alignment vertical="top"/>
    </xf>
    <xf numFmtId="0" fontId="12" fillId="8" borderId="3" xfId="0" applyFont="1" applyFill="1" applyBorder="1" applyAlignment="1">
      <alignment vertical="top"/>
    </xf>
    <xf numFmtId="0" fontId="12" fillId="7" borderId="3" xfId="0" applyFont="1" applyFill="1" applyBorder="1" applyAlignment="1">
      <alignment vertical="top"/>
    </xf>
    <xf numFmtId="0" fontId="3" fillId="7" borderId="7" xfId="0" applyFont="1" applyFill="1" applyBorder="1" applyAlignment="1">
      <alignment vertical="top"/>
    </xf>
    <xf numFmtId="0" fontId="12" fillId="8" borderId="5" xfId="0" applyFont="1" applyFill="1" applyBorder="1" applyAlignment="1">
      <alignment vertical="top"/>
    </xf>
    <xf numFmtId="0" fontId="15" fillId="10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6" fillId="12" borderId="9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vertical="top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11" borderId="1" xfId="0" applyFont="1" applyFill="1" applyBorder="1" applyAlignment="1">
      <alignment horizontal="center" vertical="center"/>
    </xf>
    <xf numFmtId="164" fontId="3" fillId="8" borderId="3" xfId="0" applyNumberFormat="1" applyFont="1" applyFill="1" applyBorder="1" applyAlignment="1">
      <alignment vertical="top"/>
    </xf>
    <xf numFmtId="0" fontId="3" fillId="7" borderId="1" xfId="0" applyFont="1" applyFill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7" borderId="7" xfId="0" applyFont="1" applyFill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2" fontId="3" fillId="8" borderId="1" xfId="0" applyNumberFormat="1" applyFont="1" applyFill="1" applyBorder="1" applyAlignment="1">
      <alignment vertical="top"/>
    </xf>
    <xf numFmtId="49" fontId="14" fillId="8" borderId="1" xfId="1" applyNumberFormat="1" applyFill="1" applyBorder="1" applyAlignment="1">
      <alignment vertical="top"/>
    </xf>
    <xf numFmtId="0" fontId="0" fillId="0" borderId="0" xfId="0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8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8" borderId="1" xfId="0" applyFont="1" applyFill="1" applyBorder="1" applyAlignment="1">
      <alignment vertical="top"/>
    </xf>
    <xf numFmtId="0" fontId="3" fillId="8" borderId="4" xfId="0" applyFont="1" applyFill="1" applyBorder="1" applyAlignment="1">
      <alignment vertical="top"/>
    </xf>
    <xf numFmtId="0" fontId="3" fillId="8" borderId="5" xfId="0" applyFont="1" applyFill="1" applyBorder="1" applyAlignment="1">
      <alignment vertical="top"/>
    </xf>
    <xf numFmtId="0" fontId="3" fillId="8" borderId="6" xfId="0" applyFont="1" applyFill="1" applyBorder="1" applyAlignment="1">
      <alignment vertical="top"/>
    </xf>
    <xf numFmtId="0" fontId="7" fillId="12" borderId="7" xfId="0" applyFont="1" applyFill="1" applyBorder="1" applyAlignment="1">
      <alignment horizontal="center"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0" xfId="0" applyBorder="1"/>
    <xf numFmtId="0" fontId="15" fillId="11" borderId="11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vertical="top"/>
    </xf>
    <xf numFmtId="0" fontId="3" fillId="14" borderId="1" xfId="0" applyFont="1" applyFill="1" applyBorder="1" applyAlignment="1">
      <alignment vertical="top"/>
    </xf>
    <xf numFmtId="0" fontId="17" fillId="0" borderId="14" xfId="0" applyFont="1" applyBorder="1"/>
    <xf numFmtId="0" fontId="17" fillId="0" borderId="15" xfId="0" applyFont="1" applyBorder="1"/>
    <xf numFmtId="0" fontId="14" fillId="0" borderId="0" xfId="1"/>
    <xf numFmtId="0" fontId="3" fillId="14" borderId="3" xfId="0" applyFont="1" applyFill="1" applyBorder="1" applyAlignment="1">
      <alignment vertical="top"/>
    </xf>
    <xf numFmtId="0" fontId="3" fillId="14" borderId="16" xfId="0" applyFont="1" applyFill="1" applyBorder="1" applyAlignment="1">
      <alignment vertical="top"/>
    </xf>
    <xf numFmtId="0" fontId="3" fillId="14" borderId="7" xfId="0" applyFont="1" applyFill="1" applyBorder="1" applyAlignment="1">
      <alignment vertical="top"/>
    </xf>
    <xf numFmtId="0" fontId="22" fillId="0" borderId="0" xfId="0" applyFont="1"/>
    <xf numFmtId="14" fontId="3" fillId="8" borderId="1" xfId="0" applyNumberFormat="1" applyFont="1" applyFill="1" applyBorder="1" applyAlignment="1">
      <alignment vertical="top"/>
    </xf>
    <xf numFmtId="0" fontId="12" fillId="15" borderId="1" xfId="0" applyFont="1" applyFill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16" borderId="1" xfId="0" applyFont="1" applyFill="1" applyBorder="1" applyAlignment="1">
      <alignment vertical="top"/>
    </xf>
    <xf numFmtId="0" fontId="3" fillId="16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14" borderId="8" xfId="0" applyFont="1" applyFill="1" applyBorder="1" applyAlignment="1">
      <alignment vertical="top"/>
    </xf>
    <xf numFmtId="0" fontId="19" fillId="0" borderId="0" xfId="0" applyFont="1" applyAlignment="1">
      <alignment wrapText="1"/>
    </xf>
    <xf numFmtId="0" fontId="6" fillId="11" borderId="1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vertical="top" wrapText="1"/>
    </xf>
    <xf numFmtId="0" fontId="3" fillId="8" borderId="3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2" fillId="14" borderId="2" xfId="0" applyFont="1" applyFill="1" applyBorder="1" applyAlignment="1">
      <alignment vertical="top"/>
    </xf>
    <xf numFmtId="11" fontId="3" fillId="14" borderId="2" xfId="0" applyNumberFormat="1" applyFont="1" applyFill="1" applyBorder="1" applyAlignment="1">
      <alignment vertical="top"/>
    </xf>
    <xf numFmtId="49" fontId="17" fillId="0" borderId="12" xfId="0" applyNumberFormat="1" applyFont="1" applyBorder="1"/>
    <xf numFmtId="49" fontId="17" fillId="0" borderId="13" xfId="0" applyNumberFormat="1" applyFont="1" applyBorder="1"/>
    <xf numFmtId="49" fontId="3" fillId="14" borderId="1" xfId="0" applyNumberFormat="1" applyFont="1" applyFill="1" applyBorder="1" applyAlignment="1">
      <alignment vertical="top"/>
    </xf>
    <xf numFmtId="49" fontId="12" fillId="14" borderId="1" xfId="0" applyNumberFormat="1" applyFont="1" applyFill="1" applyBorder="1" applyAlignment="1">
      <alignment vertical="top"/>
    </xf>
    <xf numFmtId="0" fontId="12" fillId="7" borderId="1" xfId="0" applyFont="1" applyFill="1" applyBorder="1" applyAlignment="1">
      <alignment vertical="top"/>
    </xf>
    <xf numFmtId="0" fontId="12" fillId="14" borderId="1" xfId="0" applyFont="1" applyFill="1" applyBorder="1" applyAlignment="1">
      <alignment vertical="top"/>
    </xf>
    <xf numFmtId="0" fontId="12" fillId="14" borderId="16" xfId="0" applyFont="1" applyFill="1" applyBorder="1" applyAlignment="1">
      <alignment vertical="top"/>
    </xf>
    <xf numFmtId="0" fontId="12" fillId="14" borderId="7" xfId="0" applyFont="1" applyFill="1" applyBorder="1" applyAlignment="1">
      <alignment vertical="top"/>
    </xf>
    <xf numFmtId="0" fontId="12" fillId="16" borderId="8" xfId="0" applyFont="1" applyFill="1" applyBorder="1" applyAlignment="1">
      <alignment vertical="top"/>
    </xf>
    <xf numFmtId="0" fontId="24" fillId="17" borderId="18" xfId="0" applyFont="1" applyFill="1" applyBorder="1"/>
    <xf numFmtId="164" fontId="24" fillId="17" borderId="18" xfId="0" applyNumberFormat="1" applyFont="1" applyFill="1" applyBorder="1"/>
    <xf numFmtId="0" fontId="24" fillId="17" borderId="18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7" borderId="2" xfId="0" applyFont="1" applyFill="1" applyBorder="1" applyAlignment="1">
      <alignment vertical="top"/>
    </xf>
    <xf numFmtId="0" fontId="24" fillId="0" borderId="0" xfId="0" applyFont="1"/>
    <xf numFmtId="164" fontId="24" fillId="0" borderId="0" xfId="0" applyNumberFormat="1" applyFont="1"/>
    <xf numFmtId="0" fontId="24" fillId="0" borderId="17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4" fontId="18" fillId="0" borderId="14" xfId="0" applyNumberFormat="1" applyFont="1" applyBorder="1"/>
    <xf numFmtId="164" fontId="18" fillId="0" borderId="15" xfId="0" applyNumberFormat="1" applyFont="1" applyBorder="1"/>
    <xf numFmtId="0" fontId="12" fillId="15" borderId="7" xfId="0" applyFont="1" applyFill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16" borderId="7" xfId="0" applyFont="1" applyFill="1" applyBorder="1" applyAlignment="1">
      <alignment vertical="top"/>
    </xf>
    <xf numFmtId="0" fontId="3" fillId="16" borderId="7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14" borderId="7" xfId="1" applyFill="1" applyBorder="1" applyAlignment="1">
      <alignment vertical="top"/>
    </xf>
    <xf numFmtId="0" fontId="12" fillId="16" borderId="7" xfId="0" applyFont="1" applyFill="1" applyBorder="1" applyAlignment="1">
      <alignment vertical="top"/>
    </xf>
    <xf numFmtId="0" fontId="12" fillId="16" borderId="7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12" fillId="14" borderId="7" xfId="0" applyNumberFormat="1" applyFont="1" applyFill="1" applyBorder="1" applyAlignment="1">
      <alignment vertical="top"/>
    </xf>
    <xf numFmtId="0" fontId="12" fillId="18" borderId="7" xfId="0" applyFont="1" applyFill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164" fontId="12" fillId="14" borderId="8" xfId="0" applyNumberFormat="1" applyFont="1" applyFill="1" applyBorder="1" applyAlignment="1">
      <alignment vertical="top"/>
    </xf>
    <xf numFmtId="0" fontId="27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9" fillId="0" borderId="0" xfId="0" applyFont="1" applyAlignment="1">
      <alignment wrapText="1"/>
    </xf>
    <xf numFmtId="49" fontId="12" fillId="8" borderId="1" xfId="0" applyNumberFormat="1" applyFont="1" applyFill="1" applyBorder="1" applyAlignment="1">
      <alignment vertical="top"/>
    </xf>
    <xf numFmtId="49" fontId="3" fillId="7" borderId="1" xfId="0" applyNumberFormat="1" applyFont="1" applyFill="1" applyBorder="1" applyAlignment="1">
      <alignment vertical="top"/>
    </xf>
    <xf numFmtId="49" fontId="12" fillId="7" borderId="1" xfId="0" applyNumberFormat="1" applyFont="1" applyFill="1" applyBorder="1" applyAlignment="1">
      <alignment vertical="top"/>
    </xf>
    <xf numFmtId="49" fontId="12" fillId="14" borderId="19" xfId="0" applyNumberFormat="1" applyFont="1" applyFill="1" applyBorder="1" applyAlignment="1">
      <alignment vertical="top"/>
    </xf>
    <xf numFmtId="0" fontId="10" fillId="5" borderId="0" xfId="0" applyFont="1" applyFill="1" applyAlignment="1">
      <alignment horizontal="center" vertical="center"/>
    </xf>
    <xf numFmtId="0" fontId="0" fillId="0" borderId="0" xfId="0"/>
    <xf numFmtId="0" fontId="5" fillId="9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20">
    <dxf>
      <numFmt numFmtId="164" formatCode="dd/mm/yy;@"/>
    </dxf>
    <dxf>
      <numFmt numFmtId="164" formatCode="dd/mm/yy;@"/>
    </dxf>
    <dxf>
      <border outline="0">
        <right style="thin">
          <color rgb="FFAAAAAA"/>
        </right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</dxf>
    <dxf>
      <border outline="0"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0FFF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AAAAAA"/>
        </left>
        <right/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AAAAAA"/>
        </left>
        <right/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</dxf>
    <dxf>
      <border outline="0"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0FFF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/mm/yy;@"/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/mm/yy;@"/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</dxf>
    <dxf>
      <border outline="0"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0FFF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0FFF4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0FFF4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</dxf>
    <dxf>
      <border outline="0"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0FFF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</dxf>
    <dxf>
      <border outline="0"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0FFF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border outline="0"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0FFF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/mm/yy;@"/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FFF"/>
          <bgColor indexed="6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</dxf>
    <dxf>
      <border outline="0"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0FFF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0FFF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0FFF4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0FFF4"/>
          <bgColor indexed="6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left style="thin">
          <color rgb="FFAAAAAA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0FFF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0FFF4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border outline="0"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0FFF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border outline="0"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0FFF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border outline="0"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0FFF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microsoft.com/office/2023/09/relationships/Python" Target="pyth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omas bravo" id="{35E4FBB7-93C7-4128-81D7-7A0614D9394E}" userId="2921896b298e90cf" providerId="Windows Live"/>
  <person displayName="Daniela Ramírez" id="{F36D7163-E389-4891-9F7C-0C6CA5FB9C25}" userId="daniela.ramirez@ufrontera.cl" providerId="PeoplePicker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BDF646-6AB5-43B7-AD3B-7DFA6765727B}" name="ADegreeTable" displayName="ADegreeTable" ref="A6:B8" totalsRowShown="0" headerRowDxfId="113" headerRowBorderDxfId="112" tableBorderDxfId="111" totalsRowBorderDxfId="110">
  <autoFilter ref="A6:B8" xr:uid="{21BDF646-6AB5-43B7-AD3B-7DFA6765727B}"/>
  <tableColumns count="2">
    <tableColumn id="1" xr3:uid="{D084344C-E421-48F0-8ED9-9638F88C6846}" name="id"/>
    <tableColumn id="2" xr3:uid="{9F0DCB94-4F04-48E3-B0C1-197AD7B74B6B}" name="name" dataDxfId="10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06504D-941D-4F95-A34D-8031062A23F0}" name="TitleTable" displayName="TitleTable" ref="A6:E12" totalsRowShown="0" headerRowDxfId="108" headerRowBorderDxfId="107" tableBorderDxfId="106" totalsRowBorderDxfId="105">
  <autoFilter ref="A6:E12" xr:uid="{1D06504D-941D-4F95-A34D-8031062A23F0}"/>
  <tableColumns count="5">
    <tableColumn id="1" xr3:uid="{7801D28A-9FC1-4168-B38F-EE639910650A}" name="id" dataDxfId="104">
      <calculatedColumnFormula>IF(TitleTable[[#This Row],[academicDegreeId]]&lt;&gt;"",ROW()-6,"")</calculatedColumnFormula>
    </tableColumn>
    <tableColumn id="2" xr3:uid="{A7BC7DF6-3102-4BBA-BC51-DB8410EAB5BD}" name="academicDegreeId" dataDxfId="103">
      <calculatedColumnFormula>_xlfn.XLOOKUP(TitleTable[[#This Row],[AcademicDegreeName]],ADegreeTable[name], ADegreeTable[id],"",0,1)</calculatedColumnFormula>
    </tableColumn>
    <tableColumn id="6" xr3:uid="{A4F7459D-7F69-4F60-BB9E-B23C34251DCF}" name="AcademicDegreeName" dataDxfId="102"/>
    <tableColumn id="3" xr3:uid="{300E313B-FA95-4376-9612-7FF1A398FA49}" name="gender" dataDxfId="101"/>
    <tableColumn id="4" xr3:uid="{30F0397B-1916-4C7E-B449-91C6BCF48ADA}" name="abbrev" dataDxfId="10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5FEA289-536E-4259-A619-2744ADA3DB87}" name="UserTable" displayName="UserTable" ref="A6:N36" totalsRowShown="0" headerRowDxfId="99" dataDxfId="98" tableBorderDxfId="97">
  <autoFilter ref="A6:N36" xr:uid="{85FEA289-536E-4259-A619-2744ADA3DB87}"/>
  <tableColumns count="14">
    <tableColumn id="1" xr3:uid="{D84565A3-15A3-40D5-885B-59C4991B2454}" name="id" dataDxfId="96">
      <calculatedColumnFormula>IF(UserTable[[#This Row],[rut]]&lt;&gt;"", ROW()-6,"")</calculatedColumnFormula>
    </tableColumn>
    <tableColumn id="2" xr3:uid="{E789B167-226C-420B-BBD4-8755387CAFE6}" name="rut" dataDxfId="95"/>
    <tableColumn id="3" xr3:uid="{93B4A9A1-DC9A-44FA-8692-C9A24CC1BF40}" name="name" dataDxfId="94"/>
    <tableColumn id="4" xr3:uid="{63AB093F-B349-4655-86C2-B260E78F6BF1}" name="email" dataDxfId="93"/>
    <tableColumn id="5" xr3:uid="{56D0A7C0-F001-4955-A153-E7F45CC5AF52}" name="emailVerified" dataDxfId="92"/>
    <tableColumn id="6" xr3:uid="{7D04D1EC-A119-48D6-AD1F-240337054887}" name="image" dataDxfId="91"/>
    <tableColumn id="7" xr3:uid="{CF3A91BB-659C-4083-935E-AFC637FBA3F3}" name="role" dataDxfId="90"/>
    <tableColumn id="8" xr3:uid="{5C06DE85-13EF-4A5C-B6DB-B75E5FFC0545}" name="banned" dataDxfId="89"/>
    <tableColumn id="9" xr3:uid="{8BFEF23D-7870-4777-A520-8246B3DE2FDF}" name="banReason" dataDxfId="88"/>
    <tableColumn id="10" xr3:uid="{F672B4C8-D389-49C1-9B64-DE4E88445A59}" name="banExpires" dataDxfId="87"/>
    <tableColumn id="11" xr3:uid="{90307C6C-1290-4627-8E69-FF7293A360C8}" name="gender" dataDxfId="86"/>
    <tableColumn id="12" xr3:uid="{AFFA8672-1495-4235-9B93-04970AC93F2A}" name="isDirector" dataDxfId="85"/>
    <tableColumn id="13" xr3:uid="{623D3833-0700-46BB-9F79-F1EBAFC81D6A}" name="academicDegreeId">
      <calculatedColumnFormula>_xlfn.XLOOKUP(UserTable[[#This Row],[academicDegreeName]], ADegreeTable[name], ADegreeTable[id],"",0,1)</calculatedColumnFormula>
    </tableColumn>
    <tableColumn id="14" xr3:uid="{A3095C02-4520-4290-9049-96E4158716C7}" name="academicDegreeName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F25C97-1CFC-458F-A99C-18D9A6AD8A69}" name="StudentTable" displayName="StudentTable" ref="A6:F31" totalsRowShown="0" headerRowDxfId="84" dataDxfId="82" headerRowBorderDxfId="83" tableBorderDxfId="81" totalsRowBorderDxfId="80">
  <autoFilter ref="A6:F31" xr:uid="{FCF25C97-1CFC-458F-A99C-18D9A6AD8A69}"/>
  <tableColumns count="6">
    <tableColumn id="1" xr3:uid="{4365B9E5-05D3-43F2-9E75-34DB73C72A3F}" name="id" dataDxfId="79">
      <calculatedColumnFormula>IF(ISBLANK(StudentTable[[#This Row],[studentId]]),"", ROW()-6)</calculatedColumnFormula>
    </tableColumn>
    <tableColumn id="2" xr3:uid="{EAC8744D-1F09-4A5C-8E4A-3D85E08B6D37}" name="studentId" dataDxfId="78"/>
    <tableColumn id="3" xr3:uid="{66B37519-AF27-4C0F-9BFE-4DE89E499C64}" name="userName" dataDxfId="77"/>
    <tableColumn id="4" xr3:uid="{76391975-9083-4AF9-B31F-55AE28819CFB}" name="userId" dataDxfId="76">
      <calculatedColumnFormula>_xlfn.XLOOKUP(StudentTable[[#This Row],[userName]],UserTable[name],UserTable[id],"",0,1)</calculatedColumnFormula>
    </tableColumn>
    <tableColumn id="5" xr3:uid="{BD538411-70FF-493E-B572-8105AB255D28}" name="isRegularStudent" dataDxfId="75"/>
    <tableColumn id="6" xr3:uid="{D2EBA512-F8A8-4CB6-8EA2-A0DC38CB5C0B}" name="admisionDate" dataDxfId="7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F547C4C-61C7-4C2A-9C4D-C8523461AAFF}" name="ActivityTypeTable" displayName="ActivityTypeTable" ref="A6:B13" totalsRowShown="0" headerRowDxfId="73" headerRowBorderDxfId="72" tableBorderDxfId="71" totalsRowBorderDxfId="70">
  <autoFilter ref="A6:B13" xr:uid="{0F547C4C-61C7-4C2A-9C4D-C8523461AAFF}"/>
  <tableColumns count="2">
    <tableColumn id="1" xr3:uid="{59150BA5-A7DE-4874-BEC8-662316686ECE}" name="id" dataDxfId="69">
      <calculatedColumnFormula>IF(ISBLANK(ActivityTypeTable[[#This Row],[name]]),"", ROW()-6)</calculatedColumnFormula>
    </tableColumn>
    <tableColumn id="2" xr3:uid="{C734BFB6-8090-4FE5-B857-573748EB0614}" name="name" dataDxfId="68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67C1A1-6942-4B9F-AE16-A9B361C53B1A}" name="ActivityTable" displayName="ActivityTable" ref="A6:H7" totalsRowShown="0" headerRowDxfId="67" dataDxfId="65" headerRowBorderDxfId="66" tableBorderDxfId="64" totalsRowBorderDxfId="63">
  <autoFilter ref="A6:H7" xr:uid="{DF67C1A1-6942-4B9F-AE16-A9B361C53B1A}"/>
  <tableColumns count="8">
    <tableColumn id="1" xr3:uid="{ED578E86-4E76-4E90-85CA-674930C235F7}" name="id" dataDxfId="62"/>
    <tableColumn id="2" xr3:uid="{FB6C5FA6-DF04-45A7-89B5-88F1FC79C2D6}" name="activityTypeName" dataDxfId="61"/>
    <tableColumn id="3" xr3:uid="{EE938535-FAD5-46E2-9062-D0D81D92843E}" name="activityTypeId" dataDxfId="60">
      <calculatedColumnFormula>_xlfn.XLOOKUP(ActivityTable[[#This Row],[activityTypeName]],ActivityTypeTable[name], ActivityTypeTable[id],"",0,1)</calculatedColumnFormula>
    </tableColumn>
    <tableColumn id="4" xr3:uid="{7E99DBF1-B701-4269-8285-40CB77EE77CF}" name="name" dataDxfId="59"/>
    <tableColumn id="5" xr3:uid="{3F2225E0-5303-4D1E-95EC-65F1B96512C6}" name="startAt" dataDxfId="58"/>
    <tableColumn id="6" xr3:uid="{D19CBEFD-D71A-41F7-A14B-DF9F5A8E0CA5}" name="endAt" dataDxfId="57"/>
    <tableColumn id="7" xr3:uid="{A77D4338-9AE4-4919-BC5C-02F7DEF383DE}" name="nAssistant" dataDxfId="56"/>
    <tableColumn id="8" xr3:uid="{AB81B6E6-2917-4082-9767-BA28157B6C97}" name="nParticipant" dataDxfId="55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3ADF508-CC90-4FBB-B8A6-80FFBB135690}" name="ParticipantTypeTable" displayName="ParticipantTypeTable" ref="A6:G22" totalsRowShown="0" headerRowDxfId="54" dataDxfId="52" headerRowBorderDxfId="53" tableBorderDxfId="51" totalsRowBorderDxfId="50">
  <autoFilter ref="A6:G22" xr:uid="{23ADF508-CC90-4FBB-B8A6-80FFBB135690}"/>
  <tableColumns count="7">
    <tableColumn id="1" xr3:uid="{10A749B4-38CA-4B67-A4C5-C561F90DDDE2}" name="id" dataDxfId="49">
      <calculatedColumnFormula>IF(ISBLANK(ParticipantTypeTable[[#This Row],[name]]),"", ROW()-6)</calculatedColumnFormula>
    </tableColumn>
    <tableColumn id="2" xr3:uid="{04AFB6EC-E691-421A-B26F-9891A42D291E}" name="name" dataDxfId="48"/>
    <tableColumn id="3" xr3:uid="{12DF8505-E053-492C-8C45-4D52788AA007}" name="roles" dataDxfId="47"/>
    <tableColumn id="4" xr3:uid="{D684A6E0-2CB6-43AD-AA2A-978621E5D4DB}" name="activityTypeName" dataDxfId="46"/>
    <tableColumn id="5" xr3:uid="{8BB7BDF5-9C51-428B-8F41-2D5551800DA8}" name="activityTypeId" dataDxfId="45">
      <calculatedColumnFormula>_xlfn.XLOOKUP(ParticipantTypeTable[[#This Row],[activityTypeName]],ActivityTypeTable[name], ActivityTypeTable[id],"",0,1)</calculatedColumnFormula>
    </tableColumn>
    <tableColumn id="8" xr3:uid="{D21DFADD-72C9-48EF-9B97-94DCE941715E}" name=" min" dataDxfId="44"/>
    <tableColumn id="9" xr3:uid="{2EB78418-4933-4BE7-848D-737A5AED6CD7}" name="max" dataDxfId="4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5FD7229-441E-4FE3-AF45-908EA33D6E1A}" name="ParticipantTable" displayName="ParticipantTable" ref="A6:J7" totalsRowShown="0" headerRowDxfId="42" dataDxfId="40" headerRowBorderDxfId="41" tableBorderDxfId="39" totalsRowBorderDxfId="38">
  <autoFilter ref="A6:J7" xr:uid="{15FD7229-441E-4FE3-AF45-908EA33D6E1A}"/>
  <tableColumns count="10">
    <tableColumn id="1" xr3:uid="{652686EA-7035-4724-9CDA-D89B37DDB77D}" name="id" dataDxfId="37">
      <calculatedColumnFormula>IF(ISBLANK(ParticipantTable[[#This Row],[activityName]]),"", ROW()-6)</calculatedColumnFormula>
    </tableColumn>
    <tableColumn id="2" xr3:uid="{394ADFAF-FF0E-462F-BF79-96D9AFAC3CEA}" name="activityName" dataDxfId="36"/>
    <tableColumn id="3" xr3:uid="{8FD18E64-E7FA-44AD-A7EC-413A12C07581}" name="userName" dataDxfId="35"/>
    <tableColumn id="4" xr3:uid="{343F771A-82D0-4DC1-900F-370A7B1BECD0}" name="participantTypeName" dataDxfId="34"/>
    <tableColumn id="5" xr3:uid="{BE01A539-C086-41E4-9971-BA82DB1D694F}" name="activityId" dataDxfId="33">
      <calculatedColumnFormula>_xlfn.XLOOKUP(ParticipantTable[[#This Row],[activityName]],ActivityTable[name], ActivityTable[id],"",0,1)</calculatedColumnFormula>
    </tableColumn>
    <tableColumn id="6" xr3:uid="{0A7CDBA9-FD84-4CC8-8EDF-CD8D694398A9}" name="userId" dataDxfId="32">
      <calculatedColumnFormula>_xlfn.XLOOKUP(ParticipantTable[[#This Row],[userName]],UserTable[name],UserTable[id],"",0,1)</calculatedColumnFormula>
    </tableColumn>
    <tableColumn id="7" xr3:uid="{F6E3050B-3F30-48C9-AAC7-FCAD98900424}" name="participantTypeId" dataDxfId="31">
      <calculatedColumnFormula>_xlfn.XLOOKUP(ParticipantTable[[#This Row],[participantTypeName]],ParticipantTypeTable[name],ParticipantTypeTable[id],"",0,1)</calculatedColumnFormula>
    </tableColumn>
    <tableColumn id="8" xr3:uid="{DACCFE94-858F-47FE-B4F6-B33E5374D14F}" name="hours" dataDxfId="30"/>
    <tableColumn id="9" xr3:uid="{896BC859-D635-4695-B906-023A1E5FE6E6}" name="startAt" dataDxfId="29"/>
    <tableColumn id="10" xr3:uid="{DFC6A317-6999-46F4-8CCD-ACD83FFB9F5E}" name="endAt" dataDxfId="28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4DFEBB4-E470-43F4-9B57-CA71A40CB7EA}" name="CertificateTable" displayName="CertificateTable" ref="A6:B14" totalsRowShown="0" headerRowDxfId="119" headerRowBorderDxfId="118" tableBorderDxfId="117" totalsRowBorderDxfId="116">
  <autoFilter ref="A6:B14" xr:uid="{E4DFEBB4-E470-43F4-9B57-CA71A40CB7EA}"/>
  <tableColumns count="2">
    <tableColumn id="1" xr3:uid="{61038C46-43E9-4B35-96C1-CBBB1A87E834}" name="id" dataDxfId="115">
      <calculatedColumnFormula>IF(ISBLANK(CertificateTable[[#This Row],[name]]),"",ROW()-6)</calculatedColumnFormula>
    </tableColumn>
    <tableColumn id="2" xr3:uid="{33957B68-51D0-43D0-8BD3-562B4F9472E0}" name="name" dataDxfId="11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B666A61-9D82-4C49-BCCD-2E916244936B}" name="TemplateTable" displayName="TemplateTable" ref="A6:I11" totalsRowShown="0" headerRowDxfId="27" dataDxfId="25" headerRowBorderDxfId="26" tableBorderDxfId="24" totalsRowBorderDxfId="23">
  <autoFilter ref="A6:I11" xr:uid="{7B666A61-9D82-4C49-BCCD-2E916244936B}"/>
  <tableColumns count="9">
    <tableColumn id="1" xr3:uid="{35DFD295-E223-4974-ACE2-697935223713}" name="id" dataDxfId="22">
      <calculatedColumnFormula>IF(ISBLANK(TemplateTable[[#This Row],[certificateName]]),"",ROW()-6)</calculatedColumnFormula>
    </tableColumn>
    <tableColumn id="2" xr3:uid="{F0014E9D-997A-4846-891A-BB433D709D81}" name="certificateName" dataDxfId="21"/>
    <tableColumn id="3" xr3:uid="{6800626F-D286-415C-A674-0DB3C1DB73C2}" name="certificateId" dataDxfId="20">
      <calculatedColumnFormula>_xlfn.XLOOKUP(TemplateTable[[#This Row],[certificateName]],CertificateTable[name], CertificateTable[id],"",0,1)</calculatedColumnFormula>
    </tableColumn>
    <tableColumn id="4" xr3:uid="{98120E82-B208-4584-AA36-331D4263F344}" name="role" dataDxfId="19"/>
    <tableColumn id="8" xr3:uid="{1EC5D45E-1355-4169-9B29-F2DD20E04EC2}" name="activityTypeName" dataDxfId="18"/>
    <tableColumn id="5" xr3:uid="{BFE3FA6C-D650-450B-9013-3E601CEFEAB9}" name="activityTypeId" dataDxfId="17">
      <calculatedColumnFormula>_xlfn.XLOOKUP(TemplateTable[[#This Row],[activityTypeName]], ActivityTypeTable[name],ActivityTypeTable[id], "",0,1)</calculatedColumnFormula>
    </tableColumn>
    <tableColumn id="9" xr3:uid="{D2A34400-809B-4181-B7DE-643FA4E237AC}" name="participantTypeName" dataDxfId="16"/>
    <tableColumn id="6" xr3:uid="{C114DF71-6DF2-480D-932F-564F087EDE4D}" name="participantTypeId" dataDxfId="15">
      <calculatedColumnFormula>_xlfn.XLOOKUP(TemplateTable[[#This Row],[participantTypeName]], ParticipantTypeTable[name], ParticipantTypeTable[id],"",0,1)</calculatedColumnFormula>
    </tableColumn>
    <tableColumn id="7" xr3:uid="{718F385C-1FA2-47C7-A2A8-851AF99822CD}" name="template" dataDxfId="14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5C6D74-FC52-47E2-AA34-D6697409B949}" name="ExamTable" displayName="ExamTable" ref="A6:F7" totalsRowShown="0" headerRowDxfId="13" dataDxfId="11" headerRowBorderDxfId="12" tableBorderDxfId="10" totalsRowBorderDxfId="9">
  <autoFilter ref="A6:F7" xr:uid="{BC5C6D74-FC52-47E2-AA34-D6697409B949}"/>
  <tableColumns count="6">
    <tableColumn id="1" xr3:uid="{692719ED-79B2-42F7-9EE5-149A32F745B3}" name="id" dataDxfId="8">
      <calculatedColumnFormula>IF(ISBLANK(ExamTable[[#This Row],[studentName]]),"",ROW()-6)</calculatedColumnFormula>
    </tableColumn>
    <tableColumn id="2" xr3:uid="{1B246D39-0161-43B5-A25E-5F63C4AE1C13}" name="studentName" dataDxfId="7"/>
    <tableColumn id="3" xr3:uid="{9CA5A4E7-4070-4BCC-8ABE-22A888226F06}" name="activityName" dataDxfId="6"/>
    <tableColumn id="4" xr3:uid="{21CCAFCC-797A-43FF-B871-B5CE4FD3B169}" name="studentId" dataDxfId="5">
      <calculatedColumnFormula>_xlfn.XLOOKUP(ExamTable[[#This Row],[studentName]],StudentTable[userName],StudentTable[id],"",0,1)</calculatedColumnFormula>
    </tableColumn>
    <tableColumn id="5" xr3:uid="{6E4D44FF-C970-45A8-9C7A-5AE471194553}" name="activityId" dataDxfId="4">
      <calculatedColumnFormula>_xlfn.XLOOKUP(ExamTable[[#This Row],[activityName]],ActivityTable[name], ActivityTable[id],"",0,1)</calculatedColumnFormula>
    </tableColumn>
    <tableColumn id="6" xr3:uid="{9C8DA54A-7DAD-473A-A016-641BD60DCBEA}" name="grade" dataDxfId="3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1D6E94-D624-4909-801E-0A975228B87A}" name="Table2" displayName="Table2" ref="A6:F8" totalsRowShown="0" tableBorderDxfId="2">
  <autoFilter ref="A6:F8" xr:uid="{191D6E94-D624-4909-801E-0A975228B87A}"/>
  <tableColumns count="6">
    <tableColumn id="1" xr3:uid="{3EA61B12-485E-4164-8E68-E67D97E9E6EE}" name="id"/>
    <tableColumn id="2" xr3:uid="{80F87750-506A-488E-A087-62FD6EC7CD56}" name="name"/>
    <tableColumn id="3" xr3:uid="{E51D765E-473A-445E-97FF-84EA5A1D0A11}" name="startDate" dataDxfId="1"/>
    <tableColumn id="4" xr3:uid="{090B45DA-1C17-40C8-83AF-70B77C52604D}" name="endDate" dataDxfId="0"/>
    <tableColumn id="5" xr3:uid="{EEDCA362-4214-4E8E-8AA3-2DCCF52C92CD}" name="active">
      <calculatedColumnFormula>FALSE</calculatedColumnFormula>
    </tableColumn>
    <tableColumn id="6" xr3:uid="{D3E16DA7-152F-465D-85BF-7FA6B1863688}" name="isCurrent">
      <calculatedColumnFormula>IF(AND(AcademicPeriod!$C7&lt;=TODAY(),AcademicPeriod!$D7&gt;=TODAY()),TRUE, 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" dT="2026-03-20T12:14:37.69" personId="{35E4FBB7-93C7-4128-81D7-7A0614D9394E}" id="{333457B4-C0B1-490D-B910-FE742EE78008}">
    <text>@Daniela Ramírez voy a eliminar la columna de requerido, pero si colocas 1 en la cantidad minima significa va a tener el mismo significado.</text>
    <mentions>
      <mention mentionpersonId="{F36D7163-E389-4891-9F7C-0C6CA5FB9C25}" mentionId="{EE440DE8-30FC-4E97-8B95-794E5E3AE841}" startIndex="0" length="16"/>
    </mentions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isi.acevedog8625@gmail.com" TargetMode="External"/><Relationship Id="rId2" Type="http://schemas.openxmlformats.org/officeDocument/2006/relationships/hyperlink" Target="mailto:tomas.b.c@outlook.com" TargetMode="External"/><Relationship Id="rId1" Type="http://schemas.openxmlformats.org/officeDocument/2006/relationships/hyperlink" Target="mailto:tamara.otzen@ufrontera.cl" TargetMode="External"/><Relationship Id="rId6" Type="http://schemas.openxmlformats.org/officeDocument/2006/relationships/table" Target="../tables/table3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min@constancias.c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selection activeCell="B7" sqref="B7"/>
    </sheetView>
  </sheetViews>
  <sheetFormatPr defaultRowHeight="15" x14ac:dyDescent="0.25"/>
  <cols>
    <col min="1" max="1" width="28" customWidth="1"/>
    <col min="2" max="2" width="48" customWidth="1"/>
    <col min="3" max="3" width="24" customWidth="1"/>
  </cols>
  <sheetData>
    <row r="1" spans="1:3" ht="30" customHeight="1" x14ac:dyDescent="0.25">
      <c r="A1" s="111" t="s">
        <v>0</v>
      </c>
      <c r="B1" s="109"/>
      <c r="C1" s="109"/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2" t="s">
        <v>4</v>
      </c>
      <c r="B3" s="2" t="s">
        <v>5</v>
      </c>
      <c r="C3" s="2" t="s">
        <v>4</v>
      </c>
    </row>
    <row r="4" spans="1:3" x14ac:dyDescent="0.25">
      <c r="A4" s="3" t="s">
        <v>6</v>
      </c>
      <c r="B4" s="3" t="s">
        <v>7</v>
      </c>
      <c r="C4" s="3" t="s">
        <v>6</v>
      </c>
    </row>
    <row r="5" spans="1:3" x14ac:dyDescent="0.25">
      <c r="A5" s="2" t="s">
        <v>8</v>
      </c>
      <c r="B5" s="2" t="s">
        <v>9</v>
      </c>
      <c r="C5" s="2" t="s">
        <v>8</v>
      </c>
    </row>
    <row r="6" spans="1:3" x14ac:dyDescent="0.25">
      <c r="A6" s="3" t="s">
        <v>10</v>
      </c>
      <c r="B6" s="3" t="s">
        <v>11</v>
      </c>
      <c r="C6" s="3" t="s">
        <v>10</v>
      </c>
    </row>
    <row r="7" spans="1:3" x14ac:dyDescent="0.25">
      <c r="A7" s="2" t="s">
        <v>12</v>
      </c>
      <c r="B7" s="2" t="s">
        <v>13</v>
      </c>
      <c r="C7" s="2" t="s">
        <v>12</v>
      </c>
    </row>
    <row r="8" spans="1:3" x14ac:dyDescent="0.25">
      <c r="A8" s="3" t="s">
        <v>14</v>
      </c>
      <c r="B8" s="3" t="s">
        <v>15</v>
      </c>
      <c r="C8" s="3" t="s">
        <v>14</v>
      </c>
    </row>
    <row r="9" spans="1:3" x14ac:dyDescent="0.25">
      <c r="A9" s="2" t="s">
        <v>16</v>
      </c>
      <c r="B9" s="2" t="s">
        <v>17</v>
      </c>
      <c r="C9" s="2" t="s">
        <v>16</v>
      </c>
    </row>
    <row r="10" spans="1:3" x14ac:dyDescent="0.25">
      <c r="A10" s="3" t="s">
        <v>18</v>
      </c>
      <c r="B10" s="3" t="s">
        <v>19</v>
      </c>
      <c r="C10" s="3" t="s">
        <v>18</v>
      </c>
    </row>
    <row r="11" spans="1:3" x14ac:dyDescent="0.25">
      <c r="A11" s="2" t="s">
        <v>20</v>
      </c>
      <c r="B11" s="2" t="s">
        <v>21</v>
      </c>
      <c r="C11" s="2" t="s">
        <v>20</v>
      </c>
    </row>
    <row r="12" spans="1:3" x14ac:dyDescent="0.25">
      <c r="A12" s="3" t="s">
        <v>22</v>
      </c>
      <c r="B12" s="3" t="s">
        <v>23</v>
      </c>
      <c r="C12" s="3" t="s">
        <v>22</v>
      </c>
    </row>
    <row r="13" spans="1:3" x14ac:dyDescent="0.25">
      <c r="A13" s="2" t="s">
        <v>24</v>
      </c>
      <c r="B13" s="2" t="s">
        <v>25</v>
      </c>
      <c r="C13" s="2" t="s">
        <v>24</v>
      </c>
    </row>
    <row r="14" spans="1:3" x14ac:dyDescent="0.25">
      <c r="A14" s="3" t="s">
        <v>26</v>
      </c>
      <c r="B14" s="3" t="s">
        <v>27</v>
      </c>
      <c r="C14" s="3" t="s">
        <v>26</v>
      </c>
    </row>
    <row r="15" spans="1:3" x14ac:dyDescent="0.25">
      <c r="A15" s="2" t="s">
        <v>28</v>
      </c>
      <c r="B15" s="2" t="s">
        <v>29</v>
      </c>
      <c r="C15" s="2" t="s">
        <v>28</v>
      </c>
    </row>
    <row r="16" spans="1:3" x14ac:dyDescent="0.25">
      <c r="A16" s="3" t="s">
        <v>30</v>
      </c>
      <c r="B16" s="3" t="s">
        <v>31</v>
      </c>
      <c r="C16" s="3" t="s">
        <v>30</v>
      </c>
    </row>
    <row r="19" spans="1:1" x14ac:dyDescent="0.25">
      <c r="A19" s="4" t="s">
        <v>32</v>
      </c>
    </row>
    <row r="20" spans="1:1" x14ac:dyDescent="0.25">
      <c r="A20" s="5" t="s">
        <v>33</v>
      </c>
    </row>
    <row r="21" spans="1:1" x14ac:dyDescent="0.25">
      <c r="A21" s="6" t="s">
        <v>34</v>
      </c>
    </row>
    <row r="22" spans="1:1" x14ac:dyDescent="0.25">
      <c r="A22" s="7" t="s">
        <v>35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C5" sqref="C5"/>
    </sheetView>
  </sheetViews>
  <sheetFormatPr defaultRowHeight="15" x14ac:dyDescent="0.25"/>
  <cols>
    <col min="1" max="1" width="20" customWidth="1"/>
    <col min="3" max="3" width="20" customWidth="1"/>
    <col min="5" max="5" width="20" customWidth="1"/>
  </cols>
  <sheetData>
    <row r="1" spans="1:6" ht="28.15" customHeight="1" x14ac:dyDescent="0.25">
      <c r="A1" s="112" t="s">
        <v>36</v>
      </c>
      <c r="B1" s="109"/>
      <c r="C1" s="109"/>
      <c r="D1" s="109"/>
      <c r="E1" s="109"/>
      <c r="F1" s="109"/>
    </row>
    <row r="2" spans="1:6" ht="19.899999999999999" customHeight="1" x14ac:dyDescent="0.25">
      <c r="A2" s="8" t="s">
        <v>37</v>
      </c>
      <c r="C2" s="8" t="s">
        <v>38</v>
      </c>
      <c r="E2" s="8" t="s">
        <v>39</v>
      </c>
    </row>
    <row r="3" spans="1:6" x14ac:dyDescent="0.25">
      <c r="A3" s="9" t="s">
        <v>40</v>
      </c>
      <c r="C3" s="9" t="s">
        <v>41</v>
      </c>
      <c r="E3" s="9" t="s">
        <v>42</v>
      </c>
    </row>
    <row r="4" spans="1:6" x14ac:dyDescent="0.25">
      <c r="A4" s="9" t="s">
        <v>43</v>
      </c>
      <c r="C4" s="9" t="s">
        <v>44</v>
      </c>
      <c r="E4" s="9" t="s">
        <v>45</v>
      </c>
    </row>
    <row r="5" spans="1:6" x14ac:dyDescent="0.25">
      <c r="A5" s="9" t="s">
        <v>46</v>
      </c>
      <c r="C5" s="9" t="s">
        <v>47</v>
      </c>
      <c r="E5" s="9" t="s">
        <v>48</v>
      </c>
    </row>
    <row r="6" spans="1:6" x14ac:dyDescent="0.25">
      <c r="C6" s="9" t="s">
        <v>49</v>
      </c>
      <c r="E6" s="9" t="s">
        <v>50</v>
      </c>
    </row>
    <row r="7" spans="1:6" x14ac:dyDescent="0.25">
      <c r="E7" s="9" t="s">
        <v>51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zoomScale="150" zoomScaleNormal="150" workbookViewId="0">
      <pane ySplit="5" topLeftCell="A7" activePane="bottomLeft" state="frozen"/>
      <selection pane="bottomLeft" activeCell="B14" sqref="B14"/>
    </sheetView>
  </sheetViews>
  <sheetFormatPr defaultRowHeight="15" x14ac:dyDescent="0.25"/>
  <cols>
    <col min="1" max="1" width="10.5703125" bestFit="1" customWidth="1"/>
    <col min="2" max="2" width="17.7109375" bestFit="1" customWidth="1"/>
  </cols>
  <sheetData>
    <row r="1" spans="1:2" ht="28.15" customHeight="1" x14ac:dyDescent="0.25">
      <c r="A1" s="113" t="s">
        <v>52</v>
      </c>
      <c r="B1" s="109"/>
    </row>
    <row r="2" spans="1:2" ht="18" customHeight="1" x14ac:dyDescent="0.25">
      <c r="A2" s="110" t="s">
        <v>53</v>
      </c>
      <c r="B2" s="109"/>
    </row>
    <row r="3" spans="1:2" ht="22.15" customHeight="1" x14ac:dyDescent="0.25">
      <c r="A3" s="10" t="s">
        <v>54</v>
      </c>
      <c r="B3" s="16" t="s">
        <v>55</v>
      </c>
    </row>
    <row r="4" spans="1:2" ht="18" customHeight="1" x14ac:dyDescent="0.25">
      <c r="A4" s="11" t="s">
        <v>56</v>
      </c>
      <c r="B4" s="12" t="s">
        <v>57</v>
      </c>
    </row>
    <row r="5" spans="1:2" ht="22.5" x14ac:dyDescent="0.25">
      <c r="A5" s="13" t="s">
        <v>58</v>
      </c>
      <c r="B5" s="13" t="s">
        <v>59</v>
      </c>
    </row>
    <row r="6" spans="1:2" hidden="1" x14ac:dyDescent="0.25">
      <c r="A6" s="23" t="s">
        <v>54</v>
      </c>
      <c r="B6" s="24" t="s">
        <v>60</v>
      </c>
    </row>
    <row r="7" spans="1:2" ht="18" customHeight="1" x14ac:dyDescent="0.25">
      <c r="A7" t="s">
        <v>320</v>
      </c>
      <c r="B7" s="25" t="s">
        <v>61</v>
      </c>
    </row>
    <row r="8" spans="1:2" ht="18" customHeight="1" x14ac:dyDescent="0.25">
      <c r="A8" t="s">
        <v>321</v>
      </c>
      <c r="B8" s="26" t="s">
        <v>62</v>
      </c>
    </row>
    <row r="9" spans="1:2" ht="18" customHeight="1" x14ac:dyDescent="0.25"/>
    <row r="10" spans="1:2" ht="18" customHeight="1" x14ac:dyDescent="0.25"/>
    <row r="11" spans="1:2" ht="18" customHeight="1" x14ac:dyDescent="0.25"/>
    <row r="12" spans="1:2" ht="18" customHeight="1" x14ac:dyDescent="0.25"/>
    <row r="13" spans="1:2" ht="18" customHeight="1" x14ac:dyDescent="0.25"/>
    <row r="14" spans="1:2" ht="18" customHeight="1" x14ac:dyDescent="0.25"/>
    <row r="15" spans="1:2" ht="18" customHeight="1" x14ac:dyDescent="0.25"/>
  </sheetData>
  <mergeCells count="2">
    <mergeCell ref="A2:B2"/>
    <mergeCell ref="A1:B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zoomScale="150" zoomScaleNormal="150" workbookViewId="0">
      <pane ySplit="5" topLeftCell="A7" activePane="bottomLeft" state="frozen"/>
      <selection pane="bottomLeft" activeCell="C15" sqref="C15"/>
    </sheetView>
  </sheetViews>
  <sheetFormatPr defaultRowHeight="15" x14ac:dyDescent="0.25"/>
  <cols>
    <col min="1" max="1" width="16" customWidth="1"/>
    <col min="2" max="2" width="20.7109375" hidden="1" customWidth="1"/>
    <col min="3" max="3" width="20.7109375" customWidth="1"/>
    <col min="4" max="5" width="16" customWidth="1"/>
  </cols>
  <sheetData>
    <row r="1" spans="1:5" ht="28.15" customHeight="1" x14ac:dyDescent="0.25">
      <c r="A1" s="113" t="s">
        <v>63</v>
      </c>
      <c r="B1" s="109"/>
      <c r="C1" s="109"/>
      <c r="D1" s="109"/>
      <c r="E1" s="109"/>
    </row>
    <row r="2" spans="1:5" ht="18" customHeight="1" x14ac:dyDescent="0.25">
      <c r="A2" s="110" t="s">
        <v>64</v>
      </c>
      <c r="B2" s="109"/>
      <c r="C2" s="109"/>
      <c r="D2" s="109"/>
      <c r="E2" s="109"/>
    </row>
    <row r="3" spans="1:5" ht="22.15" customHeight="1" x14ac:dyDescent="0.25">
      <c r="A3" s="10" t="s">
        <v>54</v>
      </c>
      <c r="B3" s="16" t="s">
        <v>65</v>
      </c>
      <c r="C3" s="16" t="s">
        <v>66</v>
      </c>
      <c r="D3" s="16" t="s">
        <v>67</v>
      </c>
      <c r="E3" s="16" t="s">
        <v>68</v>
      </c>
    </row>
    <row r="4" spans="1:5" ht="18" customHeight="1" x14ac:dyDescent="0.25">
      <c r="A4" s="11" t="s">
        <v>56</v>
      </c>
      <c r="B4" s="14" t="s">
        <v>69</v>
      </c>
      <c r="C4" s="30" t="s">
        <v>70</v>
      </c>
      <c r="D4" s="12" t="s">
        <v>37</v>
      </c>
      <c r="E4" s="12" t="s">
        <v>70</v>
      </c>
    </row>
    <row r="5" spans="1:5" ht="22.5" x14ac:dyDescent="0.25">
      <c r="A5" s="13" t="s">
        <v>58</v>
      </c>
      <c r="B5" s="13" t="s">
        <v>71</v>
      </c>
      <c r="C5" s="31" t="s">
        <v>72</v>
      </c>
      <c r="D5" s="13" t="s">
        <v>73</v>
      </c>
      <c r="E5" s="13" t="s">
        <v>74</v>
      </c>
    </row>
    <row r="6" spans="1:5" hidden="1" x14ac:dyDescent="0.25">
      <c r="A6" s="23" t="s">
        <v>54</v>
      </c>
      <c r="B6" s="28" t="s">
        <v>75</v>
      </c>
      <c r="C6" s="28" t="s">
        <v>76</v>
      </c>
      <c r="D6" s="28" t="s">
        <v>77</v>
      </c>
      <c r="E6" s="24" t="s">
        <v>78</v>
      </c>
    </row>
    <row r="7" spans="1:5" ht="18" customHeight="1" x14ac:dyDescent="0.25">
      <c r="A7" s="34" t="s">
        <v>314</v>
      </c>
      <c r="B7" s="18" t="str">
        <f>_xlfn.XLOOKUP(TitleTable[[#This Row],[AcademicDegreeName]],ADegreeTable[name], ADegreeTable[id],"",0,1)</f>
        <v>31878bfc-6caf-4312-a018-f50392e7f64e</v>
      </c>
      <c r="C7" s="18" t="s">
        <v>61</v>
      </c>
      <c r="D7" s="3" t="s">
        <v>40</v>
      </c>
      <c r="E7" s="20" t="s">
        <v>79</v>
      </c>
    </row>
    <row r="8" spans="1:5" ht="18" customHeight="1" x14ac:dyDescent="0.25">
      <c r="A8" s="34" t="s">
        <v>315</v>
      </c>
      <c r="B8" s="18" t="str">
        <f>_xlfn.XLOOKUP(TitleTable[[#This Row],[AcademicDegreeName]],ADegreeTable[name], ADegreeTable[id],"",0,1)</f>
        <v>31878bfc-6caf-4312-a018-f50392e7f64e</v>
      </c>
      <c r="C8" s="18" t="s">
        <v>61</v>
      </c>
      <c r="D8" s="2" t="s">
        <v>43</v>
      </c>
      <c r="E8" s="21" t="s">
        <v>79</v>
      </c>
    </row>
    <row r="9" spans="1:5" ht="18" customHeight="1" x14ac:dyDescent="0.25">
      <c r="A9" s="34" t="s">
        <v>316</v>
      </c>
      <c r="B9" s="18" t="str">
        <f>_xlfn.XLOOKUP(TitleTable[[#This Row],[AcademicDegreeName]],ADegreeTable[name], ADegreeTable[id],"",0,1)</f>
        <v>31878bfc-6caf-4312-a018-f50392e7f64e</v>
      </c>
      <c r="C9" s="18" t="s">
        <v>61</v>
      </c>
      <c r="D9" s="3" t="s">
        <v>46</v>
      </c>
      <c r="E9" s="20" t="s">
        <v>79</v>
      </c>
    </row>
    <row r="10" spans="1:5" ht="18" customHeight="1" x14ac:dyDescent="0.25">
      <c r="A10" s="34" t="s">
        <v>317</v>
      </c>
      <c r="B10" s="18" t="str">
        <f>_xlfn.XLOOKUP(TitleTable[[#This Row],[AcademicDegreeName]],ADegreeTable[name], ADegreeTable[id],"",0,1)</f>
        <v>7ea4e8ec-d20f-4c34-a8bc-cded1ac29e16</v>
      </c>
      <c r="C10" s="18" t="s">
        <v>62</v>
      </c>
      <c r="D10" s="2" t="s">
        <v>43</v>
      </c>
      <c r="E10" s="21" t="s">
        <v>80</v>
      </c>
    </row>
    <row r="11" spans="1:5" ht="18" customHeight="1" x14ac:dyDescent="0.25">
      <c r="A11" s="34" t="s">
        <v>318</v>
      </c>
      <c r="B11" s="18" t="str">
        <f>_xlfn.XLOOKUP(TitleTable[[#This Row],[AcademicDegreeName]],ADegreeTable[name], ADegreeTable[id],"",0,1)</f>
        <v>7ea4e8ec-d20f-4c34-a8bc-cded1ac29e16</v>
      </c>
      <c r="C11" s="18" t="s">
        <v>62</v>
      </c>
      <c r="D11" s="3" t="s">
        <v>40</v>
      </c>
      <c r="E11" s="20" t="s">
        <v>81</v>
      </c>
    </row>
    <row r="12" spans="1:5" ht="18" customHeight="1" x14ac:dyDescent="0.25">
      <c r="A12" s="34" t="s">
        <v>319</v>
      </c>
      <c r="B12" s="18" t="str">
        <f>_xlfn.XLOOKUP(TitleTable[[#This Row],[AcademicDegreeName]],ADegreeTable[name], ADegreeTable[id],"",0,1)</f>
        <v>7ea4e8ec-d20f-4c34-a8bc-cded1ac29e16</v>
      </c>
      <c r="C12" s="18" t="s">
        <v>62</v>
      </c>
      <c r="D12" s="2" t="s">
        <v>46</v>
      </c>
      <c r="E12" s="21" t="s">
        <v>81</v>
      </c>
    </row>
    <row r="13" spans="1:5" ht="18" customHeight="1" x14ac:dyDescent="0.25"/>
    <row r="14" spans="1:5" ht="18" customHeight="1" x14ac:dyDescent="0.25"/>
    <row r="15" spans="1:5" ht="18" customHeight="1" x14ac:dyDescent="0.25"/>
  </sheetData>
  <mergeCells count="2">
    <mergeCell ref="A1:E1"/>
    <mergeCell ref="A2:E2"/>
  </mergeCells>
  <phoneticPr fontId="23" type="noConversion"/>
  <dataValidations count="2">
    <dataValidation type="list" allowBlank="1" showInputMessage="1" showErrorMessage="1" sqref="D7:D12 D17:D1048576" xr:uid="{209F5A9D-86E1-45AA-BD51-D1A985439578}">
      <formula1>GENDER</formula1>
    </dataValidation>
    <dataValidation type="list" allowBlank="1" showInputMessage="1" showErrorMessage="1" sqref="C7:C12" xr:uid="{2B70C1C9-6727-4AC1-A4BF-0DCD06A1144C}">
      <formula1>AcademicDegreeName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6"/>
  <sheetViews>
    <sheetView topLeftCell="B1" zoomScale="150" zoomScaleNormal="150" workbookViewId="0">
      <pane ySplit="5" topLeftCell="A23" activePane="bottomLeft" state="frozen"/>
      <selection pane="bottomLeft" activeCell="D41" sqref="D41"/>
    </sheetView>
  </sheetViews>
  <sheetFormatPr defaultRowHeight="15" x14ac:dyDescent="0.25"/>
  <cols>
    <col min="1" max="2" width="16" customWidth="1"/>
    <col min="3" max="3" width="36.28515625" customWidth="1"/>
    <col min="4" max="4" width="36.7109375" customWidth="1"/>
    <col min="5" max="5" width="17" hidden="1" customWidth="1"/>
    <col min="6" max="6" width="15.85546875" hidden="1" customWidth="1"/>
    <col min="7" max="7" width="25.140625" customWidth="1"/>
    <col min="8" max="8" width="9.7109375" hidden="1" customWidth="1"/>
    <col min="9" max="9" width="13.42578125" hidden="1" customWidth="1"/>
    <col min="10" max="10" width="15.5703125" hidden="1" customWidth="1"/>
    <col min="11" max="12" width="16" customWidth="1"/>
    <col min="13" max="13" width="37" hidden="1" customWidth="1"/>
    <col min="14" max="14" width="19.85546875" customWidth="1"/>
  </cols>
  <sheetData>
    <row r="1" spans="1:36" ht="28.15" customHeight="1" x14ac:dyDescent="0.25">
      <c r="A1" s="108" t="s">
        <v>82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</row>
    <row r="2" spans="1:36" ht="18" customHeight="1" x14ac:dyDescent="0.25">
      <c r="A2" s="114" t="s">
        <v>83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</row>
    <row r="3" spans="1:36" ht="22.15" customHeight="1" x14ac:dyDescent="0.25">
      <c r="A3" s="10" t="s">
        <v>54</v>
      </c>
      <c r="B3" s="10" t="s">
        <v>84</v>
      </c>
      <c r="C3" s="16" t="s">
        <v>85</v>
      </c>
      <c r="D3" s="10" t="s">
        <v>86</v>
      </c>
      <c r="E3" s="10" t="s">
        <v>87</v>
      </c>
      <c r="F3" s="10" t="s">
        <v>88</v>
      </c>
      <c r="G3" s="10" t="s">
        <v>89</v>
      </c>
      <c r="H3" s="10" t="s">
        <v>90</v>
      </c>
      <c r="I3" s="10" t="s">
        <v>91</v>
      </c>
      <c r="J3" s="16" t="s">
        <v>92</v>
      </c>
      <c r="K3" s="16" t="s">
        <v>67</v>
      </c>
      <c r="L3" s="16" t="s">
        <v>93</v>
      </c>
      <c r="M3" s="10" t="s">
        <v>75</v>
      </c>
      <c r="N3" s="32" t="s">
        <v>66</v>
      </c>
    </row>
    <row r="4" spans="1:36" ht="18" customHeight="1" x14ac:dyDescent="0.25">
      <c r="A4" s="11" t="s">
        <v>70</v>
      </c>
      <c r="B4" s="12" t="s">
        <v>57</v>
      </c>
      <c r="C4" s="12" t="s">
        <v>70</v>
      </c>
      <c r="D4" s="12" t="s">
        <v>57</v>
      </c>
      <c r="E4" s="12" t="s">
        <v>94</v>
      </c>
      <c r="F4" s="12" t="s">
        <v>95</v>
      </c>
      <c r="G4" s="12" t="s">
        <v>38</v>
      </c>
      <c r="H4" s="12" t="s">
        <v>94</v>
      </c>
      <c r="I4" s="12" t="s">
        <v>95</v>
      </c>
      <c r="J4" s="12" t="s">
        <v>96</v>
      </c>
      <c r="K4" s="12" t="s">
        <v>37</v>
      </c>
      <c r="L4" s="12" t="s">
        <v>94</v>
      </c>
      <c r="M4" s="14" t="s">
        <v>97</v>
      </c>
      <c r="N4" s="52" t="s">
        <v>70</v>
      </c>
    </row>
    <row r="5" spans="1:36" ht="33.75" x14ac:dyDescent="0.25">
      <c r="A5" s="13" t="s">
        <v>98</v>
      </c>
      <c r="B5" s="31" t="s">
        <v>99</v>
      </c>
      <c r="C5" s="13" t="s">
        <v>85</v>
      </c>
      <c r="D5" s="13" t="s">
        <v>100</v>
      </c>
      <c r="E5" s="13" t="s">
        <v>101</v>
      </c>
      <c r="F5" s="13" t="s">
        <v>102</v>
      </c>
      <c r="G5" s="13" t="s">
        <v>103</v>
      </c>
      <c r="H5" s="13" t="s">
        <v>101</v>
      </c>
      <c r="I5" s="13" t="s">
        <v>104</v>
      </c>
      <c r="J5" s="13" t="s">
        <v>105</v>
      </c>
      <c r="K5" s="13" t="s">
        <v>73</v>
      </c>
      <c r="L5" s="13" t="s">
        <v>101</v>
      </c>
      <c r="M5" s="13" t="s">
        <v>106</v>
      </c>
      <c r="N5" s="33" t="s">
        <v>107</v>
      </c>
    </row>
    <row r="6" spans="1:36" x14ac:dyDescent="0.25">
      <c r="A6" s="34" t="s">
        <v>54</v>
      </c>
      <c r="B6" s="18" t="s">
        <v>84</v>
      </c>
      <c r="C6" s="18" t="s">
        <v>60</v>
      </c>
      <c r="D6" s="18" t="s">
        <v>86</v>
      </c>
      <c r="E6" s="18" t="s">
        <v>87</v>
      </c>
      <c r="F6" s="18" t="s">
        <v>88</v>
      </c>
      <c r="G6" s="18" t="s">
        <v>108</v>
      </c>
      <c r="H6" s="18" t="s">
        <v>90</v>
      </c>
      <c r="I6" s="18" t="s">
        <v>91</v>
      </c>
      <c r="J6" s="18" t="s">
        <v>92</v>
      </c>
      <c r="K6" s="18" t="s">
        <v>77</v>
      </c>
      <c r="L6" t="s">
        <v>109</v>
      </c>
      <c r="M6" s="35" t="s">
        <v>75</v>
      </c>
      <c r="N6" t="s">
        <v>110</v>
      </c>
    </row>
    <row r="7" spans="1:36" ht="18" customHeight="1" x14ac:dyDescent="0.25">
      <c r="A7" s="19" t="s">
        <v>287</v>
      </c>
      <c r="B7" s="18" t="s">
        <v>115</v>
      </c>
      <c r="C7" s="104" t="s">
        <v>111</v>
      </c>
      <c r="D7" s="42" t="s">
        <v>112</v>
      </c>
      <c r="E7" s="36"/>
      <c r="F7" s="3"/>
      <c r="G7" s="3" t="s">
        <v>44</v>
      </c>
      <c r="H7" s="3"/>
      <c r="I7" s="3"/>
      <c r="J7" s="3"/>
      <c r="K7" s="3" t="s">
        <v>43</v>
      </c>
      <c r="L7" s="43" t="b">
        <v>0</v>
      </c>
      <c r="M7" t="str">
        <f>_xlfn.XLOOKUP(UserTable[[#This Row],[academicDegreeName]], ADegreeTable[name], ADegreeTable[id],"",0,1)</f>
        <v/>
      </c>
      <c r="AI7" s="104" t="s">
        <v>111</v>
      </c>
      <c r="AJ7" t="str">
        <f>PROPER($AI7)</f>
        <v xml:space="preserve">Daniela Alejandra Ramírez Ñonque </v>
      </c>
    </row>
    <row r="8" spans="1:36" ht="18" customHeight="1" x14ac:dyDescent="0.25">
      <c r="A8" s="19" t="s">
        <v>288</v>
      </c>
      <c r="B8" s="2" t="s">
        <v>116</v>
      </c>
      <c r="C8" s="105" t="s">
        <v>113</v>
      </c>
      <c r="D8" s="57" t="s">
        <v>114</v>
      </c>
      <c r="E8" s="36"/>
      <c r="F8" s="2"/>
      <c r="G8" s="2" t="s">
        <v>44</v>
      </c>
      <c r="H8" s="3"/>
      <c r="I8" s="2"/>
      <c r="J8" s="2"/>
      <c r="K8" s="2" t="s">
        <v>43</v>
      </c>
      <c r="L8" s="44" t="b">
        <v>1</v>
      </c>
      <c r="M8" t="str">
        <f>_xlfn.XLOOKUP(UserTable[[#This Row],[academicDegreeName]], ADegreeTable[name], ADegreeTable[id],"",0,1)</f>
        <v>7ea4e8ec-d20f-4c34-a8bc-cded1ac29e16</v>
      </c>
      <c r="N8" t="s">
        <v>62</v>
      </c>
      <c r="AI8" s="106" t="s">
        <v>113</v>
      </c>
      <c r="AJ8" t="str">
        <f t="shared" ref="AJ8:AJ36" si="0">PROPER($AI8)</f>
        <v>Tamara Francisca Otzen Hernandez</v>
      </c>
    </row>
    <row r="9" spans="1:36" ht="18" customHeight="1" x14ac:dyDescent="0.25">
      <c r="A9" s="19" t="s">
        <v>289</v>
      </c>
      <c r="B9" s="3" t="s">
        <v>117</v>
      </c>
      <c r="C9" s="104" t="s">
        <v>446</v>
      </c>
      <c r="D9" s="3" t="s">
        <v>119</v>
      </c>
      <c r="E9" s="36"/>
      <c r="F9" s="3"/>
      <c r="G9" s="3" t="s">
        <v>47</v>
      </c>
      <c r="H9" s="3"/>
      <c r="I9" s="3"/>
      <c r="J9" s="3"/>
      <c r="K9" s="3" t="s">
        <v>43</v>
      </c>
      <c r="L9" s="44" t="b">
        <v>0</v>
      </c>
      <c r="M9" t="str">
        <f>_xlfn.XLOOKUP(UserTable[[#This Row],[academicDegreeName]], ADegreeTable[name], ADegreeTable[id],"",0,1)</f>
        <v/>
      </c>
      <c r="AI9" s="104" t="s">
        <v>118</v>
      </c>
      <c r="AJ9" t="str">
        <f t="shared" si="0"/>
        <v>Louise Zanella Martins</v>
      </c>
    </row>
    <row r="10" spans="1:36" ht="18" customHeight="1" x14ac:dyDescent="0.25">
      <c r="A10" s="19" t="s">
        <v>290</v>
      </c>
      <c r="B10" s="2" t="s">
        <v>120</v>
      </c>
      <c r="C10" s="105" t="s">
        <v>447</v>
      </c>
      <c r="D10" s="2" t="s">
        <v>122</v>
      </c>
      <c r="E10" s="36"/>
      <c r="F10" s="2"/>
      <c r="G10" s="2" t="s">
        <v>47</v>
      </c>
      <c r="H10" s="3"/>
      <c r="I10" s="2"/>
      <c r="J10" s="2"/>
      <c r="K10" s="2" t="s">
        <v>40</v>
      </c>
      <c r="L10" s="44" t="b">
        <v>0</v>
      </c>
      <c r="M10" t="str">
        <f>_xlfn.XLOOKUP(UserTable[[#This Row],[academicDegreeName]], ADegreeTable[name], ADegreeTable[id],"",0,1)</f>
        <v/>
      </c>
      <c r="AI10" s="106" t="s">
        <v>121</v>
      </c>
      <c r="AJ10" t="str">
        <f t="shared" si="0"/>
        <v>Rodrigo Rivera Concha</v>
      </c>
    </row>
    <row r="11" spans="1:36" ht="18" customHeight="1" x14ac:dyDescent="0.25">
      <c r="A11" s="19" t="s">
        <v>291</v>
      </c>
      <c r="B11" s="3" t="s">
        <v>385</v>
      </c>
      <c r="C11" s="104" t="s">
        <v>448</v>
      </c>
      <c r="D11" s="3" t="s">
        <v>123</v>
      </c>
      <c r="E11" s="36"/>
      <c r="F11" s="3"/>
      <c r="G11" s="3" t="s">
        <v>49</v>
      </c>
      <c r="H11" s="3"/>
      <c r="I11" s="3"/>
      <c r="J11" s="3"/>
      <c r="K11" s="3" t="s">
        <v>40</v>
      </c>
      <c r="L11" s="44" t="b">
        <v>0</v>
      </c>
      <c r="M11" t="str">
        <f>_xlfn.XLOOKUP(UserTable[[#This Row],[academicDegreeName]], ADegreeTable[name], ADegreeTable[id],"",0,1)</f>
        <v/>
      </c>
      <c r="AI11" s="104" t="s">
        <v>397</v>
      </c>
      <c r="AJ11" t="str">
        <f t="shared" si="0"/>
        <v>Javier Hernan Alarcon Roa</v>
      </c>
    </row>
    <row r="12" spans="1:36" ht="18" customHeight="1" x14ac:dyDescent="0.25">
      <c r="A12" s="19" t="s">
        <v>292</v>
      </c>
      <c r="B12" s="2"/>
      <c r="C12" s="106" t="s">
        <v>449</v>
      </c>
      <c r="D12" s="2" t="s">
        <v>125</v>
      </c>
      <c r="E12" s="36"/>
      <c r="F12" s="2"/>
      <c r="G12" s="3" t="s">
        <v>49</v>
      </c>
      <c r="H12" s="3"/>
      <c r="I12" s="2"/>
      <c r="J12" s="2"/>
      <c r="K12" s="2" t="s">
        <v>43</v>
      </c>
      <c r="L12" s="44" t="b">
        <v>0</v>
      </c>
      <c r="M12" t="str">
        <f>_xlfn.XLOOKUP(UserTable[[#This Row],[academicDegreeName]], ADegreeTable[name], ADegreeTable[id],"",0,1)</f>
        <v/>
      </c>
      <c r="AI12" s="106" t="s">
        <v>395</v>
      </c>
      <c r="AJ12" t="str">
        <f t="shared" si="0"/>
        <v>Lorena Carlota Albarracin Navas</v>
      </c>
    </row>
    <row r="13" spans="1:36" ht="18" customHeight="1" x14ac:dyDescent="0.25">
      <c r="A13" s="19" t="s">
        <v>293</v>
      </c>
      <c r="B13" s="3" t="s">
        <v>126</v>
      </c>
      <c r="C13" s="104" t="s">
        <v>450</v>
      </c>
      <c r="D13" s="3" t="s">
        <v>127</v>
      </c>
      <c r="E13" s="36"/>
      <c r="F13" s="3"/>
      <c r="G13" s="3" t="s">
        <v>49</v>
      </c>
      <c r="H13" s="3"/>
      <c r="I13" s="3"/>
      <c r="J13" s="3"/>
      <c r="K13" s="3" t="s">
        <v>40</v>
      </c>
      <c r="L13" s="44" t="b">
        <v>0</v>
      </c>
      <c r="M13" t="str">
        <f>_xlfn.XLOOKUP(UserTable[[#This Row],[academicDegreeName]], ADegreeTable[name], ADegreeTable[id],"",0,1)</f>
        <v/>
      </c>
      <c r="AI13" s="104" t="s">
        <v>396</v>
      </c>
      <c r="AJ13" t="str">
        <f t="shared" si="0"/>
        <v>Javier Ignacio Arriagada Gacitúa</v>
      </c>
    </row>
    <row r="14" spans="1:36" ht="18" customHeight="1" x14ac:dyDescent="0.25">
      <c r="A14" s="19" t="s">
        <v>294</v>
      </c>
      <c r="B14" s="2" t="s">
        <v>128</v>
      </c>
      <c r="C14" s="106" t="s">
        <v>451</v>
      </c>
      <c r="D14" s="2" t="s">
        <v>129</v>
      </c>
      <c r="E14" s="36"/>
      <c r="F14" s="2"/>
      <c r="G14" s="3" t="s">
        <v>49</v>
      </c>
      <c r="H14" s="3"/>
      <c r="I14" s="2"/>
      <c r="J14" s="2"/>
      <c r="K14" s="2" t="s">
        <v>40</v>
      </c>
      <c r="L14" s="44" t="b">
        <v>0</v>
      </c>
      <c r="M14" t="str">
        <f>_xlfn.XLOOKUP(UserTable[[#This Row],[academicDegreeName]], ADegreeTable[name], ADegreeTable[id],"",0,1)</f>
        <v/>
      </c>
      <c r="O14" s="51"/>
      <c r="AI14" s="106" t="s">
        <v>398</v>
      </c>
      <c r="AJ14" t="str">
        <f t="shared" si="0"/>
        <v>Sandra Paulina Catalan Monsalve</v>
      </c>
    </row>
    <row r="15" spans="1:36" ht="18" customHeight="1" x14ac:dyDescent="0.25">
      <c r="A15" s="34" t="s">
        <v>295</v>
      </c>
      <c r="B15" s="3" t="s">
        <v>130</v>
      </c>
      <c r="C15" s="104" t="s">
        <v>452</v>
      </c>
      <c r="D15" s="3" t="s">
        <v>131</v>
      </c>
      <c r="E15" s="36"/>
      <c r="F15" s="3"/>
      <c r="G15" s="3" t="s">
        <v>49</v>
      </c>
      <c r="H15" s="3"/>
      <c r="I15" s="3"/>
      <c r="J15" s="3"/>
      <c r="K15" s="3" t="s">
        <v>40</v>
      </c>
      <c r="L15" s="44" t="b">
        <v>0</v>
      </c>
      <c r="M15" t="str">
        <f>_xlfn.XLOOKUP(UserTable[[#This Row],[academicDegreeName]], ADegreeTable[name], ADegreeTable[id],"",0,1)</f>
        <v/>
      </c>
      <c r="AI15" s="104" t="s">
        <v>399</v>
      </c>
      <c r="AJ15" t="str">
        <f t="shared" si="0"/>
        <v>Hugo Alfredo Delgado Muñoz</v>
      </c>
    </row>
    <row r="16" spans="1:36" x14ac:dyDescent="0.25">
      <c r="A16" s="19" t="s">
        <v>296</v>
      </c>
      <c r="B16" s="2"/>
      <c r="C16" s="106" t="s">
        <v>453</v>
      </c>
      <c r="D16" s="2" t="s">
        <v>132</v>
      </c>
      <c r="E16" s="36"/>
      <c r="F16" s="2"/>
      <c r="G16" s="3" t="s">
        <v>49</v>
      </c>
      <c r="H16" s="3"/>
      <c r="I16" s="2"/>
      <c r="J16" s="2"/>
      <c r="K16" s="2" t="s">
        <v>40</v>
      </c>
      <c r="L16" s="44" t="b">
        <v>0</v>
      </c>
      <c r="M16" t="str">
        <f>_xlfn.XLOOKUP(UserTable[[#This Row],[academicDegreeName]], ADegreeTable[name], ADegreeTable[id],"",0,1)</f>
        <v/>
      </c>
      <c r="AI16" s="106" t="s">
        <v>400</v>
      </c>
      <c r="AJ16" t="str">
        <f t="shared" si="0"/>
        <v>Galo Ruben Duque Proaño</v>
      </c>
    </row>
    <row r="17" spans="1:36" x14ac:dyDescent="0.25">
      <c r="A17" s="72" t="s">
        <v>297</v>
      </c>
      <c r="B17" s="54"/>
      <c r="C17" s="77" t="s">
        <v>454</v>
      </c>
      <c r="D17" s="54" t="s">
        <v>133</v>
      </c>
      <c r="E17" s="63" t="b">
        <v>0</v>
      </c>
      <c r="F17" s="54"/>
      <c r="G17" s="3" t="s">
        <v>49</v>
      </c>
      <c r="H17" s="64"/>
      <c r="I17" s="54"/>
      <c r="J17" s="54"/>
      <c r="K17" s="54" t="s">
        <v>43</v>
      </c>
      <c r="L17" s="65" t="b">
        <v>0</v>
      </c>
      <c r="M17" t="str">
        <f>_xlfn.XLOOKUP(UserTable[[#This Row],[academicDegreeName]], ADegreeTable[name], ADegreeTable[id],"",0,1)</f>
        <v/>
      </c>
      <c r="AI17" s="77" t="s">
        <v>401</v>
      </c>
      <c r="AJ17" t="str">
        <f t="shared" si="0"/>
        <v>Maria Elena Espinosa Gonzalez</v>
      </c>
    </row>
    <row r="18" spans="1:36" x14ac:dyDescent="0.25">
      <c r="A18" s="53" t="s">
        <v>298</v>
      </c>
      <c r="B18" s="54" t="s">
        <v>134</v>
      </c>
      <c r="C18" s="77" t="s">
        <v>455</v>
      </c>
      <c r="D18" s="54" t="s">
        <v>135</v>
      </c>
      <c r="E18" s="63" t="b">
        <v>0</v>
      </c>
      <c r="F18" s="54"/>
      <c r="G18" s="3" t="s">
        <v>49</v>
      </c>
      <c r="H18" s="64"/>
      <c r="I18" s="54"/>
      <c r="J18" s="54"/>
      <c r="K18" s="54" t="s">
        <v>43</v>
      </c>
      <c r="L18" s="65" t="b">
        <v>0</v>
      </c>
      <c r="M18" t="str">
        <f>_xlfn.XLOOKUP(UserTable[[#This Row],[academicDegreeName]], ADegreeTable[name], ADegreeTable[id],"",0,1)</f>
        <v/>
      </c>
      <c r="AI18" s="77" t="s">
        <v>402</v>
      </c>
      <c r="AJ18" t="str">
        <f t="shared" si="0"/>
        <v>Mirta Andrea Espinoza Cid</v>
      </c>
    </row>
    <row r="19" spans="1:36" x14ac:dyDescent="0.25">
      <c r="A19" s="72" t="s">
        <v>299</v>
      </c>
      <c r="B19" s="54"/>
      <c r="C19" s="77" t="s">
        <v>456</v>
      </c>
      <c r="D19" s="54" t="s">
        <v>136</v>
      </c>
      <c r="E19" s="63" t="b">
        <v>0</v>
      </c>
      <c r="F19" s="54"/>
      <c r="G19" s="3" t="s">
        <v>49</v>
      </c>
      <c r="H19" s="64"/>
      <c r="I19" s="54"/>
      <c r="J19" s="54"/>
      <c r="K19" s="54" t="s">
        <v>43</v>
      </c>
      <c r="L19" s="65" t="b">
        <v>0</v>
      </c>
      <c r="M19" t="str">
        <f>_xlfn.XLOOKUP(UserTable[[#This Row],[academicDegreeName]], ADegreeTable[name], ADegreeTable[id],"",0,1)</f>
        <v/>
      </c>
      <c r="AI19" s="77" t="s">
        <v>403</v>
      </c>
      <c r="AJ19" t="str">
        <f t="shared" si="0"/>
        <v>Maria Fernanda Garcia Aguilera</v>
      </c>
    </row>
    <row r="20" spans="1:36" x14ac:dyDescent="0.25">
      <c r="A20" s="72" t="s">
        <v>300</v>
      </c>
      <c r="B20" s="54" t="s">
        <v>137</v>
      </c>
      <c r="C20" s="77" t="s">
        <v>457</v>
      </c>
      <c r="D20" s="54" t="s">
        <v>138</v>
      </c>
      <c r="E20" s="63" t="b">
        <v>0</v>
      </c>
      <c r="F20" s="54"/>
      <c r="G20" s="3" t="s">
        <v>49</v>
      </c>
      <c r="H20" s="64"/>
      <c r="I20" s="54"/>
      <c r="J20" s="54"/>
      <c r="K20" s="54" t="s">
        <v>40</v>
      </c>
      <c r="L20" s="65" t="b">
        <v>0</v>
      </c>
      <c r="M20" t="str">
        <f>_xlfn.XLOOKUP(UserTable[[#This Row],[academicDegreeName]], ADegreeTable[name], ADegreeTable[id],"",0,1)</f>
        <v/>
      </c>
      <c r="AI20" s="77" t="s">
        <v>404</v>
      </c>
      <c r="AJ20" t="str">
        <f t="shared" si="0"/>
        <v>Álvaro Ignacio Godoy Díaz</v>
      </c>
    </row>
    <row r="21" spans="1:36" x14ac:dyDescent="0.25">
      <c r="A21" s="53" t="s">
        <v>301</v>
      </c>
      <c r="B21" s="54"/>
      <c r="C21" s="77" t="s">
        <v>458</v>
      </c>
      <c r="D21" s="54" t="s">
        <v>139</v>
      </c>
      <c r="E21" s="63" t="b">
        <v>0</v>
      </c>
      <c r="F21" s="54"/>
      <c r="G21" s="3" t="s">
        <v>49</v>
      </c>
      <c r="H21" s="64"/>
      <c r="I21" s="54"/>
      <c r="J21" s="54"/>
      <c r="K21" s="54" t="s">
        <v>40</v>
      </c>
      <c r="L21" s="65" t="b">
        <v>0</v>
      </c>
      <c r="M21" t="str">
        <f>_xlfn.XLOOKUP(UserTable[[#This Row],[academicDegreeName]], ADegreeTable[name], ADegreeTable[id],"",0,1)</f>
        <v/>
      </c>
      <c r="AI21" s="77" t="s">
        <v>405</v>
      </c>
      <c r="AJ21" t="str">
        <f t="shared" si="0"/>
        <v>Enmanuel Isidoro Guerrero Quiroz</v>
      </c>
    </row>
    <row r="22" spans="1:36" x14ac:dyDescent="0.25">
      <c r="A22" s="72" t="s">
        <v>302</v>
      </c>
      <c r="B22" s="54"/>
      <c r="C22" s="77" t="s">
        <v>459</v>
      </c>
      <c r="D22" s="54" t="s">
        <v>140</v>
      </c>
      <c r="E22" s="63" t="b">
        <v>0</v>
      </c>
      <c r="F22" s="54"/>
      <c r="G22" s="3" t="s">
        <v>49</v>
      </c>
      <c r="H22" s="64"/>
      <c r="I22" s="54"/>
      <c r="J22" s="54"/>
      <c r="K22" s="54" t="s">
        <v>40</v>
      </c>
      <c r="L22" s="65" t="b">
        <v>0</v>
      </c>
      <c r="M22" t="str">
        <f>_xlfn.XLOOKUP(UserTable[[#This Row],[academicDegreeName]], ADegreeTable[name], ADegreeTable[id],"",0,1)</f>
        <v/>
      </c>
      <c r="AI22" s="77" t="s">
        <v>406</v>
      </c>
      <c r="AJ22" t="str">
        <f t="shared" si="0"/>
        <v>Juan Pablo Holguin Carvajal</v>
      </c>
    </row>
    <row r="23" spans="1:36" x14ac:dyDescent="0.25">
      <c r="A23" s="53" t="s">
        <v>303</v>
      </c>
      <c r="B23" s="79" t="s">
        <v>441</v>
      </c>
      <c r="C23" s="77" t="s">
        <v>460</v>
      </c>
      <c r="D23" s="54" t="s">
        <v>141</v>
      </c>
      <c r="E23" s="63" t="b">
        <v>0</v>
      </c>
      <c r="F23" s="54"/>
      <c r="G23" s="3" t="s">
        <v>49</v>
      </c>
      <c r="H23" s="64"/>
      <c r="I23" s="54"/>
      <c r="J23" s="54"/>
      <c r="K23" s="54" t="s">
        <v>43</v>
      </c>
      <c r="L23" s="65" t="b">
        <v>0</v>
      </c>
      <c r="M23" t="str">
        <f>_xlfn.XLOOKUP(UserTable[[#This Row],[academicDegreeName]], ADegreeTable[name], ADegreeTable[id],"",0,1)</f>
        <v/>
      </c>
      <c r="AI23" s="77" t="s">
        <v>407</v>
      </c>
      <c r="AJ23" t="str">
        <f t="shared" si="0"/>
        <v>Mariela Alejandra Landero Fuentes</v>
      </c>
    </row>
    <row r="24" spans="1:36" x14ac:dyDescent="0.25">
      <c r="A24" s="53" t="s">
        <v>304</v>
      </c>
      <c r="B24" s="54" t="s">
        <v>142</v>
      </c>
      <c r="C24" s="77" t="s">
        <v>461</v>
      </c>
      <c r="D24" s="54" t="s">
        <v>143</v>
      </c>
      <c r="E24" s="63" t="b">
        <v>0</v>
      </c>
      <c r="F24" s="54"/>
      <c r="G24" s="3" t="s">
        <v>49</v>
      </c>
      <c r="H24" s="64"/>
      <c r="I24" s="54"/>
      <c r="J24" s="54"/>
      <c r="K24" s="54" t="s">
        <v>40</v>
      </c>
      <c r="L24" s="65" t="b">
        <v>0</v>
      </c>
      <c r="M24" t="str">
        <f>_xlfn.XLOOKUP(UserTable[[#This Row],[academicDegreeName]], ADegreeTable[name], ADegreeTable[id],"",0,1)</f>
        <v/>
      </c>
      <c r="AI24" s="77" t="s">
        <v>408</v>
      </c>
      <c r="AJ24" t="str">
        <f t="shared" si="0"/>
        <v>Nicolás Ignacio Lara Salas</v>
      </c>
    </row>
    <row r="25" spans="1:36" x14ac:dyDescent="0.25">
      <c r="A25" s="53" t="s">
        <v>305</v>
      </c>
      <c r="B25" s="79" t="s">
        <v>440</v>
      </c>
      <c r="C25" s="77" t="s">
        <v>462</v>
      </c>
      <c r="D25" s="54" t="s">
        <v>145</v>
      </c>
      <c r="E25" s="63" t="b">
        <v>0</v>
      </c>
      <c r="F25" s="54"/>
      <c r="G25" s="3" t="s">
        <v>49</v>
      </c>
      <c r="H25" s="64"/>
      <c r="I25" s="54"/>
      <c r="J25" s="54"/>
      <c r="K25" s="54" t="s">
        <v>43</v>
      </c>
      <c r="L25" s="65" t="b">
        <v>0</v>
      </c>
      <c r="M25" t="str">
        <f>_xlfn.XLOOKUP(UserTable[[#This Row],[academicDegreeName]], ADegreeTable[name], ADegreeTable[id],"",0,1)</f>
        <v/>
      </c>
      <c r="AI25" s="77" t="s">
        <v>409</v>
      </c>
      <c r="AJ25" t="str">
        <f t="shared" si="0"/>
        <v>Pamela Constanza Lavados Romo</v>
      </c>
    </row>
    <row r="26" spans="1:36" x14ac:dyDescent="0.25">
      <c r="A26" s="72" t="s">
        <v>306</v>
      </c>
      <c r="B26" s="54"/>
      <c r="C26" s="77" t="s">
        <v>463</v>
      </c>
      <c r="D26" s="54" t="s">
        <v>146</v>
      </c>
      <c r="E26" s="63" t="b">
        <v>0</v>
      </c>
      <c r="F26" s="54"/>
      <c r="G26" s="3" t="s">
        <v>49</v>
      </c>
      <c r="H26" s="64"/>
      <c r="I26" s="54"/>
      <c r="J26" s="54"/>
      <c r="K26" s="54" t="s">
        <v>43</v>
      </c>
      <c r="L26" s="65" t="b">
        <v>0</v>
      </c>
      <c r="M26" t="str">
        <f>_xlfn.XLOOKUP(UserTable[[#This Row],[academicDegreeName]], ADegreeTable[name], ADegreeTable[id],"",0,1)</f>
        <v/>
      </c>
      <c r="AI26" s="77" t="s">
        <v>410</v>
      </c>
      <c r="AJ26" t="str">
        <f t="shared" si="0"/>
        <v>Miriann Alexandra Mora Verdugo</v>
      </c>
    </row>
    <row r="27" spans="1:36" x14ac:dyDescent="0.25">
      <c r="A27" s="72" t="s">
        <v>307</v>
      </c>
      <c r="B27" s="54"/>
      <c r="C27" s="77" t="s">
        <v>464</v>
      </c>
      <c r="D27" s="54" t="s">
        <v>147</v>
      </c>
      <c r="E27" s="63" t="b">
        <v>0</v>
      </c>
      <c r="F27" s="54"/>
      <c r="G27" s="3" t="s">
        <v>49</v>
      </c>
      <c r="H27" s="64"/>
      <c r="I27" s="54"/>
      <c r="J27" s="54"/>
      <c r="K27" s="54" t="s">
        <v>43</v>
      </c>
      <c r="L27" s="65" t="b">
        <v>0</v>
      </c>
      <c r="M27" t="str">
        <f>_xlfn.XLOOKUP(UserTable[[#This Row],[academicDegreeName]], ADegreeTable[name], ADegreeTable[id],"",0,1)</f>
        <v/>
      </c>
      <c r="AI27" s="77" t="s">
        <v>411</v>
      </c>
      <c r="AJ27" t="str">
        <f t="shared" si="0"/>
        <v>Eudoxia Georgina Muñoz Ortiz</v>
      </c>
    </row>
    <row r="28" spans="1:36" x14ac:dyDescent="0.25">
      <c r="A28" s="53" t="s">
        <v>308</v>
      </c>
      <c r="B28" s="54" t="s">
        <v>148</v>
      </c>
      <c r="C28" s="77" t="s">
        <v>465</v>
      </c>
      <c r="D28" s="54" t="s">
        <v>149</v>
      </c>
      <c r="E28" s="63" t="b">
        <v>0</v>
      </c>
      <c r="F28" s="54"/>
      <c r="G28" s="3" t="s">
        <v>49</v>
      </c>
      <c r="H28" s="64"/>
      <c r="I28" s="54"/>
      <c r="J28" s="54"/>
      <c r="K28" s="54" t="s">
        <v>43</v>
      </c>
      <c r="L28" s="65" t="b">
        <v>0</v>
      </c>
      <c r="M28" t="str">
        <f>_xlfn.XLOOKUP(UserTable[[#This Row],[academicDegreeName]], ADegreeTable[name], ADegreeTable[id],"",0,1)</f>
        <v/>
      </c>
      <c r="AI28" s="77" t="s">
        <v>412</v>
      </c>
      <c r="AJ28" t="str">
        <f t="shared" si="0"/>
        <v>Orieta Del Pilar Navarrete Fernandez</v>
      </c>
    </row>
    <row r="29" spans="1:36" x14ac:dyDescent="0.25">
      <c r="A29" s="53" t="s">
        <v>309</v>
      </c>
      <c r="B29" s="54" t="s">
        <v>150</v>
      </c>
      <c r="C29" s="77" t="s">
        <v>466</v>
      </c>
      <c r="D29" s="54" t="s">
        <v>151</v>
      </c>
      <c r="E29" s="63" t="b">
        <v>0</v>
      </c>
      <c r="F29" s="54"/>
      <c r="G29" s="3" t="s">
        <v>49</v>
      </c>
      <c r="H29" s="64"/>
      <c r="I29" s="54"/>
      <c r="J29" s="54"/>
      <c r="K29" s="54" t="s">
        <v>43</v>
      </c>
      <c r="L29" s="65" t="b">
        <v>0</v>
      </c>
      <c r="M29" t="str">
        <f>_xlfn.XLOOKUP(UserTable[[#This Row],[academicDegreeName]], ADegreeTable[name], ADegreeTable[id],"",0,1)</f>
        <v/>
      </c>
      <c r="AI29" s="77" t="s">
        <v>413</v>
      </c>
      <c r="AJ29" t="str">
        <f t="shared" si="0"/>
        <v>Guissela Romane Quiroz Sievers</v>
      </c>
    </row>
    <row r="30" spans="1:36" x14ac:dyDescent="0.25">
      <c r="A30" s="72" t="s">
        <v>310</v>
      </c>
      <c r="B30" s="54"/>
      <c r="C30" s="77" t="s">
        <v>467</v>
      </c>
      <c r="D30" s="54" t="s">
        <v>152</v>
      </c>
      <c r="E30" s="63" t="b">
        <v>0</v>
      </c>
      <c r="F30" s="54"/>
      <c r="G30" s="3" t="s">
        <v>49</v>
      </c>
      <c r="H30" s="64"/>
      <c r="I30" s="54"/>
      <c r="J30" s="54"/>
      <c r="K30" s="54" t="s">
        <v>40</v>
      </c>
      <c r="L30" s="65" t="b">
        <v>0</v>
      </c>
      <c r="M30" t="str">
        <f>_xlfn.XLOOKUP(UserTable[[#This Row],[academicDegreeName]], ADegreeTable[name], ADegreeTable[id],"",0,1)</f>
        <v/>
      </c>
      <c r="AI30" s="77" t="s">
        <v>414</v>
      </c>
      <c r="AJ30" t="str">
        <f t="shared" si="0"/>
        <v>Josue David Rivadeneira Dueñas</v>
      </c>
    </row>
    <row r="31" spans="1:36" x14ac:dyDescent="0.25">
      <c r="A31" s="53" t="s">
        <v>311</v>
      </c>
      <c r="B31" s="54"/>
      <c r="C31" s="77" t="s">
        <v>468</v>
      </c>
      <c r="D31" s="54" t="s">
        <v>153</v>
      </c>
      <c r="E31" s="63" t="b">
        <v>0</v>
      </c>
      <c r="F31" s="54"/>
      <c r="G31" s="3" t="s">
        <v>49</v>
      </c>
      <c r="H31" s="64"/>
      <c r="I31" s="54"/>
      <c r="J31" s="54"/>
      <c r="K31" s="54" t="s">
        <v>43</v>
      </c>
      <c r="L31" s="65" t="b">
        <v>0</v>
      </c>
      <c r="M31" t="str">
        <f>_xlfn.XLOOKUP(UserTable[[#This Row],[academicDegreeName]], ADegreeTable[name], ADegreeTable[id],"",0,1)</f>
        <v/>
      </c>
      <c r="AI31" s="77" t="s">
        <v>416</v>
      </c>
      <c r="AJ31" t="str">
        <f t="shared" si="0"/>
        <v>Carla Marina Salgado Castillo</v>
      </c>
    </row>
    <row r="32" spans="1:36" x14ac:dyDescent="0.25">
      <c r="A32" s="53" t="s">
        <v>312</v>
      </c>
      <c r="B32" s="54" t="s">
        <v>154</v>
      </c>
      <c r="C32" s="77" t="s">
        <v>469</v>
      </c>
      <c r="D32" s="54" t="s">
        <v>155</v>
      </c>
      <c r="E32" s="63" t="b">
        <v>0</v>
      </c>
      <c r="F32" s="54"/>
      <c r="G32" s="3" t="s">
        <v>49</v>
      </c>
      <c r="H32" s="64"/>
      <c r="I32" s="54"/>
      <c r="J32" s="54"/>
      <c r="K32" s="54" t="s">
        <v>40</v>
      </c>
      <c r="L32" s="65" t="b">
        <v>0</v>
      </c>
      <c r="M32" t="str">
        <f>_xlfn.XLOOKUP(UserTable[[#This Row],[academicDegreeName]], ADegreeTable[name], ADegreeTable[id],"",0,1)</f>
        <v/>
      </c>
      <c r="AI32" s="77" t="s">
        <v>417</v>
      </c>
      <c r="AJ32" t="str">
        <f t="shared" si="0"/>
        <v>Sergio Antonio Sotelo Hernandez</v>
      </c>
    </row>
    <row r="33" spans="1:36" x14ac:dyDescent="0.25">
      <c r="A33" s="53" t="s">
        <v>313</v>
      </c>
      <c r="B33" s="54" t="s">
        <v>156</v>
      </c>
      <c r="C33" s="77" t="s">
        <v>470</v>
      </c>
      <c r="D33" s="54" t="s">
        <v>157</v>
      </c>
      <c r="E33" s="63" t="b">
        <v>0</v>
      </c>
      <c r="F33" s="54"/>
      <c r="G33" s="3" t="s">
        <v>49</v>
      </c>
      <c r="H33" s="64"/>
      <c r="I33" s="54"/>
      <c r="J33" s="54"/>
      <c r="K33" s="54" t="s">
        <v>43</v>
      </c>
      <c r="L33" s="65" t="b">
        <v>0</v>
      </c>
      <c r="M33" t="str">
        <f>_xlfn.XLOOKUP(UserTable[[#This Row],[academicDegreeName]], ADegreeTable[name], ADegreeTable[id],"",0,1)</f>
        <v/>
      </c>
      <c r="AI33" s="77" t="s">
        <v>418</v>
      </c>
      <c r="AJ33" t="str">
        <f t="shared" si="0"/>
        <v>Paulina Antonia Vasquez Aguilar</v>
      </c>
    </row>
    <row r="34" spans="1:36" x14ac:dyDescent="0.25">
      <c r="A34" s="59" t="s">
        <v>428</v>
      </c>
      <c r="B34" s="81" t="s">
        <v>429</v>
      </c>
      <c r="C34" s="98" t="s">
        <v>430</v>
      </c>
      <c r="D34" s="95" t="s">
        <v>431</v>
      </c>
      <c r="E34" s="92" t="b">
        <v>0</v>
      </c>
      <c r="F34" s="60"/>
      <c r="G34" s="60" t="s">
        <v>47</v>
      </c>
      <c r="H34" s="93"/>
      <c r="I34" s="60"/>
      <c r="J34" s="60"/>
      <c r="K34" s="60" t="s">
        <v>40</v>
      </c>
      <c r="L34" s="94" t="b">
        <v>0</v>
      </c>
      <c r="M34" t="str">
        <f>_xlfn.XLOOKUP(UserTable[[#This Row],[academicDegreeName]], ADegreeTable[name], ADegreeTable[id],"",0,1)</f>
        <v>7ea4e8ec-d20f-4c34-a8bc-cded1ac29e16</v>
      </c>
      <c r="N34" t="s">
        <v>62</v>
      </c>
      <c r="AI34" s="107" t="s">
        <v>430</v>
      </c>
      <c r="AJ34" t="str">
        <f t="shared" si="0"/>
        <v>Tomás Alonso Bravo Cañete</v>
      </c>
    </row>
    <row r="35" spans="1:36" x14ac:dyDescent="0.25">
      <c r="A35" s="80" t="s">
        <v>432</v>
      </c>
      <c r="B35" s="81" t="s">
        <v>435</v>
      </c>
      <c r="C35" s="98" t="s">
        <v>433</v>
      </c>
      <c r="D35" s="95" t="s">
        <v>434</v>
      </c>
      <c r="E35" s="92" t="b">
        <v>0</v>
      </c>
      <c r="F35" s="81"/>
      <c r="G35" s="81" t="s">
        <v>49</v>
      </c>
      <c r="H35" s="96"/>
      <c r="I35" s="81"/>
      <c r="J35" s="81"/>
      <c r="K35" s="81" t="s">
        <v>43</v>
      </c>
      <c r="L35" s="97" t="b">
        <v>0</v>
      </c>
      <c r="M35" t="str">
        <f>_xlfn.XLOOKUP(UserTable[[#This Row],[academicDegreeName]], ADegreeTable[name], ADegreeTable[id],"",0,1)</f>
        <v/>
      </c>
      <c r="AI35" s="107" t="s">
        <v>433</v>
      </c>
      <c r="AJ35" t="str">
        <f t="shared" si="0"/>
        <v>Isidora Acevedo</v>
      </c>
    </row>
    <row r="36" spans="1:36" x14ac:dyDescent="0.25">
      <c r="A36" s="80" t="s">
        <v>436</v>
      </c>
      <c r="B36" s="81"/>
      <c r="C36" s="98" t="s">
        <v>437</v>
      </c>
      <c r="D36" s="95" t="s">
        <v>438</v>
      </c>
      <c r="E36" s="92" t="b">
        <v>0</v>
      </c>
      <c r="F36" s="81"/>
      <c r="G36" s="81" t="s">
        <v>41</v>
      </c>
      <c r="H36" s="96"/>
      <c r="I36" s="81"/>
      <c r="J36" s="81"/>
      <c r="K36" s="81" t="s">
        <v>43</v>
      </c>
      <c r="L36" s="97" t="b">
        <v>0</v>
      </c>
      <c r="M36" t="str">
        <f>_xlfn.XLOOKUP(UserTable[[#This Row],[academicDegreeName]], ADegreeTable[name], ADegreeTable[id],"",0,1)</f>
        <v/>
      </c>
      <c r="AI36" s="107" t="s">
        <v>437</v>
      </c>
      <c r="AJ36" t="str">
        <f t="shared" si="0"/>
        <v>Super Administrador</v>
      </c>
    </row>
  </sheetData>
  <mergeCells count="2">
    <mergeCell ref="A1:N1"/>
    <mergeCell ref="A2:N2"/>
  </mergeCells>
  <dataValidations disablePrompts="1" count="3">
    <dataValidation type="list" allowBlank="1" showInputMessage="1" showErrorMessage="1" sqref="K7:K36" xr:uid="{C328E239-E602-4BBC-B7C9-8838FFE5AD5F}">
      <formula1>GENDER</formula1>
    </dataValidation>
    <dataValidation type="list" allowBlank="1" showInputMessage="1" showErrorMessage="1" sqref="G7:G36" xr:uid="{3CDD37A2-4E7C-4F78-A244-4396A6E553B3}">
      <formula1>ROLE</formula1>
    </dataValidation>
    <dataValidation type="list" allowBlank="1" showInputMessage="1" showErrorMessage="1" sqref="N7:N36" xr:uid="{453D5A64-0A7E-40A6-B4E8-7515AC8E245A}">
      <formula1>AcademicDegreeName</formula1>
    </dataValidation>
  </dataValidations>
  <hyperlinks>
    <hyperlink ref="D8" r:id="rId1" xr:uid="{10EC4634-A963-4B94-894C-8A55AE286D45}"/>
    <hyperlink ref="D34" r:id="rId2" xr:uid="{6307BFAA-6A42-4BE7-85A0-83AAE0637AE6}"/>
    <hyperlink ref="D35" r:id="rId3" xr:uid="{49897348-E349-4A99-9AA3-4ED161BD1077}"/>
    <hyperlink ref="D36" r:id="rId4" xr:uid="{519E6EBE-4D35-46E3-ACD5-F341AEBF4FDA}"/>
  </hyperlinks>
  <pageMargins left="0.75" right="0.75" top="1" bottom="1" header="0.5" footer="0.5"/>
  <pageSetup orientation="portrait" horizontalDpi="0" verticalDpi="0" r:id="rId5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zoomScale="150" zoomScaleNormal="150" workbookViewId="0">
      <pane ySplit="5" topLeftCell="A14" activePane="bottomLeft" state="frozen"/>
      <selection pane="bottomLeft" activeCell="A32" sqref="A32"/>
    </sheetView>
  </sheetViews>
  <sheetFormatPr defaultRowHeight="15" x14ac:dyDescent="0.25"/>
  <cols>
    <col min="1" max="2" width="16" customWidth="1"/>
    <col min="3" max="3" width="42" customWidth="1"/>
    <col min="4" max="4" width="15.85546875" customWidth="1"/>
    <col min="5" max="5" width="20" customWidth="1"/>
    <col min="6" max="6" width="16" customWidth="1"/>
  </cols>
  <sheetData>
    <row r="1" spans="1:6" ht="28.15" customHeight="1" x14ac:dyDescent="0.25">
      <c r="A1" s="108" t="s">
        <v>158</v>
      </c>
      <c r="B1" s="109"/>
      <c r="C1" s="109"/>
      <c r="D1" s="109"/>
      <c r="E1" s="109"/>
      <c r="F1" s="109"/>
    </row>
    <row r="2" spans="1:6" ht="18" customHeight="1" x14ac:dyDescent="0.25">
      <c r="A2" s="110" t="s">
        <v>159</v>
      </c>
      <c r="B2" s="109"/>
      <c r="C2" s="109"/>
      <c r="D2" s="109"/>
      <c r="E2" s="109"/>
      <c r="F2" s="109"/>
    </row>
    <row r="3" spans="1:6" ht="22.15" customHeight="1" x14ac:dyDescent="0.25">
      <c r="A3" s="10" t="s">
        <v>54</v>
      </c>
      <c r="B3" s="16" t="s">
        <v>160</v>
      </c>
      <c r="C3" s="16" t="s">
        <v>161</v>
      </c>
      <c r="D3" s="10" t="s">
        <v>162</v>
      </c>
      <c r="E3" s="16" t="s">
        <v>163</v>
      </c>
      <c r="F3" s="16" t="s">
        <v>164</v>
      </c>
    </row>
    <row r="4" spans="1:6" ht="18" customHeight="1" x14ac:dyDescent="0.25">
      <c r="A4" s="11" t="s">
        <v>56</v>
      </c>
      <c r="B4" s="12" t="s">
        <v>165</v>
      </c>
      <c r="C4" s="37" t="s">
        <v>70</v>
      </c>
      <c r="D4" s="14" t="s">
        <v>166</v>
      </c>
      <c r="E4" s="12" t="s">
        <v>94</v>
      </c>
      <c r="F4" s="12" t="s">
        <v>167</v>
      </c>
    </row>
    <row r="5" spans="1:6" ht="33.75" x14ac:dyDescent="0.25">
      <c r="A5" s="13" t="s">
        <v>58</v>
      </c>
      <c r="B5" s="13" t="s">
        <v>168</v>
      </c>
      <c r="C5" s="31" t="s">
        <v>161</v>
      </c>
      <c r="D5" s="13" t="s">
        <v>169</v>
      </c>
      <c r="E5" s="13" t="s">
        <v>101</v>
      </c>
      <c r="F5" s="13" t="s">
        <v>170</v>
      </c>
    </row>
    <row r="6" spans="1:6" x14ac:dyDescent="0.25">
      <c r="A6" s="23" t="s">
        <v>54</v>
      </c>
      <c r="B6" s="28" t="s">
        <v>171</v>
      </c>
      <c r="C6" s="28" t="s">
        <v>172</v>
      </c>
      <c r="D6" s="28" t="s">
        <v>162</v>
      </c>
      <c r="E6" s="28" t="s">
        <v>173</v>
      </c>
      <c r="F6" s="24" t="s">
        <v>174</v>
      </c>
    </row>
    <row r="7" spans="1:6" ht="18" customHeight="1" x14ac:dyDescent="0.25">
      <c r="A7" s="34" t="s">
        <v>322</v>
      </c>
      <c r="B7" s="74">
        <v>15978907125</v>
      </c>
      <c r="C7" s="55" t="s">
        <v>397</v>
      </c>
      <c r="D7" s="3" t="str">
        <f>_xlfn.XLOOKUP(StudentTable[[#This Row],[userName]],UserTable[name],UserTable[id],"",0,1)</f>
        <v>f77b39d3-a58f-4ca6-a82f-e38696181065</v>
      </c>
      <c r="E7" s="39" t="b">
        <v>1</v>
      </c>
      <c r="F7" s="90">
        <v>45717</v>
      </c>
    </row>
    <row r="8" spans="1:6" ht="18" customHeight="1" x14ac:dyDescent="0.25">
      <c r="A8" s="34" t="s">
        <v>323</v>
      </c>
      <c r="B8" s="75" t="s">
        <v>391</v>
      </c>
      <c r="C8" s="56" t="s">
        <v>395</v>
      </c>
      <c r="D8" s="2" t="str">
        <f>_xlfn.XLOOKUP(StudentTable[[#This Row],[userName]],UserTable[name],UserTable[id],"",0,1)</f>
        <v>ad4ea904-6d98-485b-b23d-970402a2a834</v>
      </c>
      <c r="E8" s="17" t="b">
        <v>0</v>
      </c>
      <c r="F8" s="91">
        <v>43891</v>
      </c>
    </row>
    <row r="9" spans="1:6" ht="18" customHeight="1" x14ac:dyDescent="0.25">
      <c r="A9" s="34" t="s">
        <v>324</v>
      </c>
      <c r="B9" s="75">
        <v>19038872725</v>
      </c>
      <c r="C9" s="56" t="s">
        <v>396</v>
      </c>
      <c r="D9" s="3" t="str">
        <f>_xlfn.XLOOKUP(StudentTable[[#This Row],[userName]],UserTable[name],UserTable[id],"",0,1)</f>
        <v>48fecb0f-8efa-451d-b1ab-d2d2d2fbca6a</v>
      </c>
      <c r="E9" s="40" t="b">
        <v>0</v>
      </c>
      <c r="F9" s="90">
        <v>45717</v>
      </c>
    </row>
    <row r="10" spans="1:6" ht="18" customHeight="1" x14ac:dyDescent="0.25">
      <c r="A10" s="34" t="s">
        <v>325</v>
      </c>
      <c r="B10" s="76">
        <v>13515841025</v>
      </c>
      <c r="C10" s="56" t="s">
        <v>398</v>
      </c>
      <c r="D10" s="2" t="str">
        <f>_xlfn.XLOOKUP(StudentTable[[#This Row],[userName]],UserTable[name],UserTable[id],"",0,1)</f>
        <v>b6042f47-98fa-4b9a-a1a2-2364b5679160</v>
      </c>
      <c r="E10" s="50" t="b">
        <v>1</v>
      </c>
      <c r="F10" s="90">
        <v>45717</v>
      </c>
    </row>
    <row r="11" spans="1:6" ht="18" customHeight="1" x14ac:dyDescent="0.25">
      <c r="A11" s="34" t="s">
        <v>326</v>
      </c>
      <c r="B11" s="76">
        <v>16947247523</v>
      </c>
      <c r="C11" s="56" t="s">
        <v>399</v>
      </c>
      <c r="D11" s="3" t="str">
        <f>_xlfn.XLOOKUP(StudentTable[[#This Row],[userName]],UserTable[name],UserTable[id],"",0,1)</f>
        <v>527f1cf9-eeab-44e2-b3bd-bc5937c0ebb3</v>
      </c>
      <c r="E11" s="50" t="b">
        <v>0</v>
      </c>
      <c r="F11" s="91">
        <v>44986</v>
      </c>
    </row>
    <row r="12" spans="1:6" ht="18" customHeight="1" x14ac:dyDescent="0.25">
      <c r="A12" s="34" t="s">
        <v>327</v>
      </c>
      <c r="B12" s="77" t="s">
        <v>392</v>
      </c>
      <c r="C12" s="56" t="s">
        <v>400</v>
      </c>
      <c r="D12" s="2" t="str">
        <f>_xlfn.XLOOKUP(StudentTable[[#This Row],[userName]],UserTable[name],UserTable[id],"",0,1)</f>
        <v>e1860dc2-b15e-44ce-9071-efac840acd71</v>
      </c>
      <c r="E12" s="50" t="b">
        <v>1</v>
      </c>
      <c r="F12" s="91">
        <v>43160</v>
      </c>
    </row>
    <row r="13" spans="1:6" ht="18" customHeight="1" x14ac:dyDescent="0.25">
      <c r="A13" s="34" t="s">
        <v>328</v>
      </c>
      <c r="B13" s="77" t="s">
        <v>393</v>
      </c>
      <c r="C13" s="56" t="s">
        <v>401</v>
      </c>
      <c r="D13" s="3" t="str">
        <f>_xlfn.XLOOKUP(StudentTable[[#This Row],[userName]],UserTable[name],UserTable[id],"",0,1)</f>
        <v>d0fa7512-068f-41c5-9664-d0bda5ab1c8b</v>
      </c>
      <c r="E13" s="50" t="b">
        <v>0</v>
      </c>
      <c r="F13" s="91">
        <v>43891</v>
      </c>
    </row>
    <row r="14" spans="1:6" ht="18" customHeight="1" x14ac:dyDescent="0.25">
      <c r="A14" s="34" t="s">
        <v>329</v>
      </c>
      <c r="B14" s="76">
        <v>19001022824</v>
      </c>
      <c r="C14" s="54" t="s">
        <v>402</v>
      </c>
      <c r="D14" s="2" t="str">
        <f>_xlfn.XLOOKUP(StudentTable[[#This Row],[userName]],UserTable[name],UserTable[id],"",0,1)</f>
        <v>9e4c0561-fe78-4e2b-bb06-56ea563c0251</v>
      </c>
      <c r="E14" s="50" t="b">
        <v>0</v>
      </c>
      <c r="F14" s="91">
        <v>45352</v>
      </c>
    </row>
    <row r="15" spans="1:6" ht="18" customHeight="1" x14ac:dyDescent="0.25">
      <c r="A15" s="34" t="s">
        <v>330</v>
      </c>
      <c r="B15" s="77" t="s">
        <v>386</v>
      </c>
      <c r="C15" s="54" t="s">
        <v>403</v>
      </c>
      <c r="D15" s="3" t="str">
        <f>_xlfn.XLOOKUP(StudentTable[[#This Row],[userName]],UserTable[name],UserTable[id],"",0,1)</f>
        <v>1cf0949e-5637-4bf1-b535-0fbc2045d2e8</v>
      </c>
      <c r="E15" s="50" t="b">
        <v>1</v>
      </c>
      <c r="F15" s="91">
        <v>44256</v>
      </c>
    </row>
    <row r="16" spans="1:6" x14ac:dyDescent="0.25">
      <c r="A16" s="34" t="s">
        <v>331</v>
      </c>
      <c r="B16" s="76">
        <v>16840562625</v>
      </c>
      <c r="C16" s="54" t="s">
        <v>404</v>
      </c>
      <c r="D16" s="27" t="str">
        <f>_xlfn.XLOOKUP(StudentTable[[#This Row],[userName]],UserTable[name],UserTable[id],"",0,1)</f>
        <v>05590cb0-b2ae-4c59-bb8d-809a65f8479b</v>
      </c>
      <c r="E16" s="50" t="b">
        <v>1</v>
      </c>
      <c r="F16" s="90">
        <v>45717</v>
      </c>
    </row>
    <row r="17" spans="1:6" x14ac:dyDescent="0.25">
      <c r="A17" s="53" t="s">
        <v>332</v>
      </c>
      <c r="B17" s="77" t="s">
        <v>387</v>
      </c>
      <c r="C17" s="54" t="s">
        <v>405</v>
      </c>
      <c r="D17" s="54" t="str">
        <f>_xlfn.XLOOKUP(StudentTable[[#This Row],[userName]],UserTable[name],UserTable[id],"",0,1)</f>
        <v>339d6339-82e9-4197-bde1-5f4f4ea32e34</v>
      </c>
      <c r="E17" s="50" t="b">
        <v>0</v>
      </c>
      <c r="F17" s="91">
        <v>43525</v>
      </c>
    </row>
    <row r="18" spans="1:6" x14ac:dyDescent="0.25">
      <c r="A18" s="53" t="s">
        <v>333</v>
      </c>
      <c r="B18" s="77" t="s">
        <v>388</v>
      </c>
      <c r="C18" s="54" t="s">
        <v>406</v>
      </c>
      <c r="D18" s="54" t="str">
        <f>_xlfn.XLOOKUP(StudentTable[[#This Row],[userName]],UserTable[name],UserTable[id],"",0,1)</f>
        <v>b02bbda1-8b73-477b-ae12-2f78d5538ad4</v>
      </c>
      <c r="E18" s="50" t="b">
        <v>0</v>
      </c>
      <c r="F18" s="91">
        <v>44256</v>
      </c>
    </row>
    <row r="19" spans="1:6" x14ac:dyDescent="0.25">
      <c r="A19" s="53" t="s">
        <v>334</v>
      </c>
      <c r="B19" s="76">
        <v>16794686025</v>
      </c>
      <c r="C19" s="54" t="s">
        <v>407</v>
      </c>
      <c r="D19" s="54" t="str">
        <f>_xlfn.XLOOKUP(StudentTable[[#This Row],[userName]],UserTable[name],UserTable[id],"",0,1)</f>
        <v>c1364d84-faff-488b-91ba-9fa5e9f62d0f</v>
      </c>
      <c r="E19" s="50" t="b">
        <v>1</v>
      </c>
      <c r="F19" s="90">
        <v>45717</v>
      </c>
    </row>
    <row r="20" spans="1:6" x14ac:dyDescent="0.25">
      <c r="A20" s="53" t="s">
        <v>335</v>
      </c>
      <c r="B20" s="76">
        <v>19944215525</v>
      </c>
      <c r="C20" s="54" t="s">
        <v>408</v>
      </c>
      <c r="D20" s="54" t="str">
        <f>_xlfn.XLOOKUP(StudentTable[[#This Row],[userName]],UserTable[name],UserTable[id],"",0,1)</f>
        <v>601a0adc-df63-45a8-aa49-9ab62a2048f7</v>
      </c>
      <c r="E20" s="50" t="b">
        <v>1</v>
      </c>
      <c r="F20" s="90">
        <v>45717</v>
      </c>
    </row>
    <row r="21" spans="1:6" x14ac:dyDescent="0.25">
      <c r="A21" s="72" t="s">
        <v>336</v>
      </c>
      <c r="B21" s="76" t="s">
        <v>144</v>
      </c>
      <c r="C21" s="54" t="s">
        <v>409</v>
      </c>
      <c r="D21" s="54" t="str">
        <f>_xlfn.XLOOKUP(StudentTable[[#This Row],[userName]],UserTable[name],UserTable[id],"",0,1)</f>
        <v>e51422bd-8c53-4118-8161-2447e43e7377</v>
      </c>
      <c r="E21" s="50" t="b">
        <v>1</v>
      </c>
      <c r="F21" s="91">
        <v>45352</v>
      </c>
    </row>
    <row r="22" spans="1:6" x14ac:dyDescent="0.25">
      <c r="A22" s="53" t="s">
        <v>337</v>
      </c>
      <c r="B22" s="76">
        <v>30162549918</v>
      </c>
      <c r="C22" s="54" t="s">
        <v>410</v>
      </c>
      <c r="D22" s="54" t="str">
        <f>_xlfn.XLOOKUP(StudentTable[[#This Row],[userName]],UserTable[name],UserTable[id],"",0,1)</f>
        <v>d55c3e34-92cd-49e0-9d59-2c46346414ce</v>
      </c>
      <c r="E22" s="50" t="b">
        <v>0</v>
      </c>
      <c r="F22" s="91">
        <v>43160</v>
      </c>
    </row>
    <row r="23" spans="1:6" x14ac:dyDescent="0.25">
      <c r="A23" s="53" t="s">
        <v>338</v>
      </c>
      <c r="B23" s="77" t="s">
        <v>389</v>
      </c>
      <c r="C23" s="54" t="s">
        <v>411</v>
      </c>
      <c r="D23" s="54" t="str">
        <f>_xlfn.XLOOKUP(StudentTable[[#This Row],[userName]],UserTable[name],UserTable[id],"",0,1)</f>
        <v>69cc6f89-bbd0-4a4f-88b8-1655c4946f3c</v>
      </c>
      <c r="E23" s="50" t="b">
        <v>1</v>
      </c>
      <c r="F23" s="91">
        <v>44256</v>
      </c>
    </row>
    <row r="24" spans="1:6" x14ac:dyDescent="0.25">
      <c r="A24" s="53" t="s">
        <v>339</v>
      </c>
      <c r="B24" s="76">
        <v>16010559319</v>
      </c>
      <c r="C24" s="54" t="s">
        <v>412</v>
      </c>
      <c r="D24" s="54" t="str">
        <f>_xlfn.XLOOKUP(StudentTable[[#This Row],[userName]],UserTable[name],UserTable[id],"",0,1)</f>
        <v>2f1b54e3-1d63-4f76-80e3-b1a155929ca2</v>
      </c>
      <c r="E24" s="50" t="b">
        <v>1</v>
      </c>
      <c r="F24" s="91">
        <v>43525</v>
      </c>
    </row>
    <row r="25" spans="1:6" x14ac:dyDescent="0.25">
      <c r="A25" s="72" t="s">
        <v>340</v>
      </c>
      <c r="B25" s="76">
        <v>16316628318</v>
      </c>
      <c r="C25" s="54" t="s">
        <v>413</v>
      </c>
      <c r="D25" s="54" t="str">
        <f>_xlfn.XLOOKUP(StudentTable[[#This Row],[userName]],UserTable[name],UserTable[id],"",0,1)</f>
        <v>f7d62616-a293-4b1e-87ac-f1220e7c698c</v>
      </c>
      <c r="E25" s="50" t="b">
        <v>0</v>
      </c>
      <c r="F25" s="91">
        <v>43160</v>
      </c>
    </row>
    <row r="26" spans="1:6" x14ac:dyDescent="0.25">
      <c r="A26" s="53" t="s">
        <v>341</v>
      </c>
      <c r="B26" s="77" t="s">
        <v>390</v>
      </c>
      <c r="C26" s="54" t="s">
        <v>414</v>
      </c>
      <c r="D26" s="54" t="str">
        <f>_xlfn.XLOOKUP(StudentTable[[#This Row],[userName]],UserTable[name],UserTable[id],"",0,1)</f>
        <v>bd37f063-7265-44d5-91fd-3bf0f61d0f88</v>
      </c>
      <c r="E26" s="50" t="b">
        <v>1</v>
      </c>
      <c r="F26" s="91">
        <v>44621</v>
      </c>
    </row>
    <row r="27" spans="1:6" x14ac:dyDescent="0.25">
      <c r="A27" s="73" t="s">
        <v>342</v>
      </c>
      <c r="B27" s="76">
        <v>13102702820</v>
      </c>
      <c r="C27" s="54" t="s">
        <v>415</v>
      </c>
      <c r="D27" s="54" t="str">
        <f>_xlfn.XLOOKUP(StudentTable[[#This Row],[userName]],UserTable[name],UserTable[id],"",0,1)</f>
        <v/>
      </c>
      <c r="E27" s="50" t="b">
        <v>0</v>
      </c>
      <c r="F27" s="91">
        <v>43891</v>
      </c>
    </row>
    <row r="28" spans="1:6" x14ac:dyDescent="0.25">
      <c r="A28" s="53" t="s">
        <v>343</v>
      </c>
      <c r="B28" s="77" t="s">
        <v>394</v>
      </c>
      <c r="C28" s="54" t="s">
        <v>416</v>
      </c>
      <c r="D28" s="54" t="str">
        <f>_xlfn.XLOOKUP(StudentTable[[#This Row],[userName]],UserTable[name],UserTable[id],"",0,1)</f>
        <v>c9fd928b-ca48-43db-94ae-f279564b0c20</v>
      </c>
      <c r="E28" s="50" t="b">
        <v>1</v>
      </c>
      <c r="F28" s="91">
        <v>44621</v>
      </c>
    </row>
    <row r="29" spans="1:6" x14ac:dyDescent="0.25">
      <c r="A29" s="53" t="s">
        <v>344</v>
      </c>
      <c r="B29" s="76" t="s">
        <v>175</v>
      </c>
      <c r="C29" s="54" t="s">
        <v>417</v>
      </c>
      <c r="D29" s="54" t="str">
        <f>_xlfn.XLOOKUP(StudentTable[[#This Row],[userName]],UserTable[name],UserTable[id],"",0,1)</f>
        <v>a0fb461c-9d29-45f9-8931-b330dd92dac0</v>
      </c>
      <c r="E29" s="50" t="b">
        <v>0</v>
      </c>
      <c r="F29" s="91">
        <v>43525</v>
      </c>
    </row>
    <row r="30" spans="1:6" x14ac:dyDescent="0.25">
      <c r="A30" s="53" t="s">
        <v>345</v>
      </c>
      <c r="B30" s="76">
        <v>14061647824</v>
      </c>
      <c r="C30" s="54" t="s">
        <v>418</v>
      </c>
      <c r="D30" s="54" t="str">
        <f>_xlfn.XLOOKUP(StudentTable[[#This Row],[userName]],UserTable[name],UserTable[id],"",0,1)</f>
        <v>ffa32fa8-418c-4f7b-bae0-470f36c8c6cb</v>
      </c>
      <c r="E30" s="50" t="b">
        <v>1</v>
      </c>
      <c r="F30" s="91">
        <v>45352</v>
      </c>
    </row>
    <row r="31" spans="1:6" x14ac:dyDescent="0.25">
      <c r="A31" s="80" t="s">
        <v>439</v>
      </c>
      <c r="B31" s="98">
        <v>20643500323</v>
      </c>
      <c r="C31" s="81" t="s">
        <v>433</v>
      </c>
      <c r="D31" s="81" t="str">
        <f>_xlfn.XLOOKUP(StudentTable[[#This Row],[userName]],UserTable[name],UserTable[id],"",0,1)</f>
        <v>27f35774-0b46-4dd3-a4f5-83c5242ddc25</v>
      </c>
      <c r="E31" s="99" t="b">
        <v>0</v>
      </c>
      <c r="F31" s="100">
        <v>44986</v>
      </c>
    </row>
  </sheetData>
  <mergeCells count="2">
    <mergeCell ref="A2:F2"/>
    <mergeCell ref="A1:F1"/>
  </mergeCells>
  <dataValidations count="1">
    <dataValidation type="list" allowBlank="1" showInputMessage="1" showErrorMessage="1" sqref="C7:C31" xr:uid="{A2A7F91B-3543-45D6-8972-8ECED1FB35D7}">
      <formula1>UserName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"/>
  <sheetViews>
    <sheetView zoomScale="150" zoomScaleNormal="150" workbookViewId="0">
      <pane ySplit="5" topLeftCell="A6" activePane="bottomLeft" state="frozen"/>
      <selection pane="bottomLeft" activeCell="D17" sqref="D17"/>
    </sheetView>
  </sheetViews>
  <sheetFormatPr defaultRowHeight="15" x14ac:dyDescent="0.25"/>
  <cols>
    <col min="1" max="1" width="16" customWidth="1"/>
    <col min="2" max="2" width="17.140625" customWidth="1"/>
  </cols>
  <sheetData>
    <row r="1" spans="1:2" ht="28.15" customHeight="1" x14ac:dyDescent="0.25">
      <c r="A1" s="108" t="s">
        <v>176</v>
      </c>
      <c r="B1" s="109"/>
    </row>
    <row r="2" spans="1:2" ht="18" customHeight="1" x14ac:dyDescent="0.25">
      <c r="A2" s="110" t="s">
        <v>177</v>
      </c>
      <c r="B2" s="109"/>
    </row>
    <row r="3" spans="1:2" ht="22.15" customHeight="1" x14ac:dyDescent="0.25">
      <c r="A3" s="10" t="s">
        <v>54</v>
      </c>
      <c r="B3" s="16" t="s">
        <v>55</v>
      </c>
    </row>
    <row r="4" spans="1:2" ht="18" customHeight="1" x14ac:dyDescent="0.25">
      <c r="A4" s="11" t="s">
        <v>56</v>
      </c>
      <c r="B4" s="12" t="s">
        <v>57</v>
      </c>
    </row>
    <row r="5" spans="1:2" ht="22.5" x14ac:dyDescent="0.25">
      <c r="A5" s="13" t="s">
        <v>58</v>
      </c>
      <c r="B5" s="13" t="s">
        <v>178</v>
      </c>
    </row>
    <row r="6" spans="1:2" x14ac:dyDescent="0.25">
      <c r="A6" s="23" t="s">
        <v>54</v>
      </c>
      <c r="B6" s="24" t="s">
        <v>60</v>
      </c>
    </row>
    <row r="7" spans="1:2" ht="18" customHeight="1" x14ac:dyDescent="0.25">
      <c r="A7" s="19" t="s">
        <v>346</v>
      </c>
      <c r="B7" s="25" t="s">
        <v>179</v>
      </c>
    </row>
    <row r="8" spans="1:2" ht="18" customHeight="1" x14ac:dyDescent="0.25">
      <c r="A8" s="19" t="s">
        <v>347</v>
      </c>
      <c r="B8" s="21" t="s">
        <v>180</v>
      </c>
    </row>
    <row r="9" spans="1:2" ht="18" customHeight="1" x14ac:dyDescent="0.25">
      <c r="A9" s="19" t="s">
        <v>348</v>
      </c>
      <c r="B9" s="20" t="s">
        <v>181</v>
      </c>
    </row>
    <row r="10" spans="1:2" ht="18" customHeight="1" x14ac:dyDescent="0.25">
      <c r="A10" s="19" t="s">
        <v>349</v>
      </c>
      <c r="B10" s="21" t="s">
        <v>182</v>
      </c>
    </row>
    <row r="11" spans="1:2" ht="18" customHeight="1" x14ac:dyDescent="0.25">
      <c r="A11" s="19" t="s">
        <v>350</v>
      </c>
      <c r="B11" s="20" t="s">
        <v>183</v>
      </c>
    </row>
    <row r="12" spans="1:2" ht="18" customHeight="1" x14ac:dyDescent="0.25">
      <c r="A12" s="19" t="s">
        <v>351</v>
      </c>
      <c r="B12" s="21" t="s">
        <v>184</v>
      </c>
    </row>
    <row r="13" spans="1:2" ht="18" customHeight="1" x14ac:dyDescent="0.25">
      <c r="A13" s="19" t="s">
        <v>352</v>
      </c>
      <c r="B13" s="20" t="s">
        <v>185</v>
      </c>
    </row>
    <row r="14" spans="1:2" ht="18" customHeight="1" x14ac:dyDescent="0.25"/>
    <row r="15" spans="1:2" ht="18" customHeight="1" x14ac:dyDescent="0.25"/>
  </sheetData>
  <mergeCells count="2">
    <mergeCell ref="A2:B2"/>
    <mergeCell ref="A1:B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"/>
  <sheetViews>
    <sheetView zoomScale="145" zoomScaleNormal="145" workbookViewId="0">
      <pane ySplit="5" topLeftCell="A7" activePane="bottomLeft" state="frozen"/>
      <selection pane="bottomLeft" activeCell="B13" sqref="B13"/>
    </sheetView>
  </sheetViews>
  <sheetFormatPr defaultRowHeight="15" x14ac:dyDescent="0.25"/>
  <cols>
    <col min="1" max="1" width="16" customWidth="1"/>
    <col min="2" max="2" width="25.85546875" bestFit="1" customWidth="1"/>
    <col min="3" max="3" width="16.85546875" hidden="1" customWidth="1"/>
    <col min="4" max="6" width="16" customWidth="1"/>
    <col min="7" max="7" width="16" hidden="1" customWidth="1"/>
    <col min="8" max="8" width="17" hidden="1" customWidth="1"/>
  </cols>
  <sheetData>
    <row r="1" spans="1:8" ht="28.15" customHeight="1" x14ac:dyDescent="0.25">
      <c r="A1" s="108" t="s">
        <v>186</v>
      </c>
      <c r="B1" s="113"/>
      <c r="C1" s="109"/>
      <c r="D1" s="109"/>
      <c r="E1" s="109"/>
      <c r="F1" s="109"/>
      <c r="G1" s="109"/>
      <c r="H1" s="109"/>
    </row>
    <row r="2" spans="1:8" ht="18" customHeight="1" x14ac:dyDescent="0.25">
      <c r="A2" s="110" t="s">
        <v>187</v>
      </c>
      <c r="B2" s="110"/>
      <c r="C2" s="109"/>
      <c r="D2" s="109"/>
      <c r="E2" s="109"/>
      <c r="F2" s="109"/>
      <c r="G2" s="109"/>
      <c r="H2" s="109"/>
    </row>
    <row r="3" spans="1:8" ht="22.15" customHeight="1" x14ac:dyDescent="0.25">
      <c r="A3" s="10" t="s">
        <v>54</v>
      </c>
      <c r="B3" s="16" t="s">
        <v>188</v>
      </c>
      <c r="C3" s="10" t="s">
        <v>189</v>
      </c>
      <c r="D3" s="16" t="s">
        <v>190</v>
      </c>
      <c r="E3" s="16" t="s">
        <v>191</v>
      </c>
      <c r="F3" s="16" t="s">
        <v>192</v>
      </c>
      <c r="G3" s="16" t="s">
        <v>193</v>
      </c>
      <c r="H3" s="10" t="s">
        <v>194</v>
      </c>
    </row>
    <row r="4" spans="1:8" ht="18" customHeight="1" x14ac:dyDescent="0.25">
      <c r="A4" s="11" t="s">
        <v>56</v>
      </c>
      <c r="B4" s="29" t="s">
        <v>70</v>
      </c>
      <c r="C4" s="14" t="s">
        <v>195</v>
      </c>
      <c r="D4" s="12" t="s">
        <v>70</v>
      </c>
      <c r="E4" s="12" t="s">
        <v>167</v>
      </c>
      <c r="F4" s="12" t="s">
        <v>96</v>
      </c>
      <c r="G4" s="12" t="s">
        <v>196</v>
      </c>
      <c r="H4" s="12" t="s">
        <v>197</v>
      </c>
    </row>
    <row r="5" spans="1:8" ht="22.5" x14ac:dyDescent="0.25">
      <c r="A5" s="13" t="s">
        <v>58</v>
      </c>
      <c r="B5" s="31" t="s">
        <v>188</v>
      </c>
      <c r="C5" s="13" t="s">
        <v>71</v>
      </c>
      <c r="D5" s="13" t="s">
        <v>190</v>
      </c>
      <c r="E5" s="13" t="s">
        <v>198</v>
      </c>
      <c r="F5" s="13" t="s">
        <v>192</v>
      </c>
      <c r="G5" s="13" t="s">
        <v>199</v>
      </c>
      <c r="H5" s="13" t="s">
        <v>200</v>
      </c>
    </row>
    <row r="6" spans="1:8" hidden="1" x14ac:dyDescent="0.25">
      <c r="A6" s="23" t="s">
        <v>54</v>
      </c>
      <c r="B6" s="28" t="s">
        <v>201</v>
      </c>
      <c r="C6" s="28" t="s">
        <v>189</v>
      </c>
      <c r="D6" s="28" t="s">
        <v>60</v>
      </c>
      <c r="E6" s="28" t="s">
        <v>202</v>
      </c>
      <c r="F6" s="28" t="s">
        <v>203</v>
      </c>
      <c r="G6" s="28" t="s">
        <v>204</v>
      </c>
      <c r="H6" s="24" t="s">
        <v>205</v>
      </c>
    </row>
    <row r="7" spans="1:8" ht="18" customHeight="1" x14ac:dyDescent="0.35">
      <c r="A7" s="19" t="s">
        <v>353</v>
      </c>
      <c r="B7" s="2" t="s">
        <v>184</v>
      </c>
      <c r="C7" s="3" t="str">
        <f>_xlfn.XLOOKUP(ActivityTable[[#This Row],[activityTypeName]],ActivityTypeTable[name], ActivityTypeTable[id],"",0,1)</f>
        <v>ddfcc1c0-36bd-4161-81ea-59e3609534ad</v>
      </c>
      <c r="D7" s="61" t="s">
        <v>206</v>
      </c>
      <c r="E7" s="62">
        <v>45151</v>
      </c>
      <c r="F7" s="3"/>
      <c r="G7" s="3"/>
      <c r="H7" s="20"/>
    </row>
    <row r="8" spans="1:8" ht="18" customHeight="1" x14ac:dyDescent="0.25">
      <c r="G8" s="2"/>
      <c r="H8" s="21"/>
    </row>
    <row r="9" spans="1:8" ht="18" customHeight="1" x14ac:dyDescent="0.25">
      <c r="G9" s="3"/>
      <c r="H9" s="20"/>
    </row>
    <row r="10" spans="1:8" ht="18" customHeight="1" x14ac:dyDescent="0.25">
      <c r="G10" s="2"/>
      <c r="H10" s="21"/>
    </row>
    <row r="11" spans="1:8" ht="18" customHeight="1" x14ac:dyDescent="0.25">
      <c r="G11" s="3"/>
      <c r="H11" s="20"/>
    </row>
    <row r="12" spans="1:8" ht="18" customHeight="1" x14ac:dyDescent="0.25">
      <c r="G12" s="2"/>
      <c r="H12" s="21"/>
    </row>
    <row r="13" spans="1:8" ht="18" customHeight="1" x14ac:dyDescent="0.25">
      <c r="G13" s="3"/>
      <c r="H13" s="20"/>
    </row>
    <row r="14" spans="1:8" ht="18" customHeight="1" x14ac:dyDescent="0.25">
      <c r="G14" s="2"/>
      <c r="H14" s="21"/>
    </row>
    <row r="15" spans="1:8" ht="18" customHeight="1" x14ac:dyDescent="0.25">
      <c r="G15" s="3"/>
      <c r="H15" s="20"/>
    </row>
    <row r="16" spans="1:8" x14ac:dyDescent="0.25">
      <c r="G16" s="27"/>
      <c r="H16" s="22"/>
    </row>
  </sheetData>
  <mergeCells count="2">
    <mergeCell ref="A2:H2"/>
    <mergeCell ref="A1:H1"/>
  </mergeCells>
  <dataValidations count="1">
    <dataValidation type="list" allowBlank="1" showInputMessage="1" showErrorMessage="1" sqref="B7" xr:uid="{0693877A-3D25-4AF8-8B0C-84FFDDFD1121}">
      <formula1>ActivityTypeName</formula1>
    </dataValidation>
  </dataValidation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2"/>
  <sheetViews>
    <sheetView zoomScale="150" zoomScaleNormal="150" workbookViewId="0">
      <pane ySplit="5" topLeftCell="A13" activePane="bottomLeft" state="frozen"/>
      <selection pane="bottomLeft" activeCell="B21" sqref="B21"/>
    </sheetView>
  </sheetViews>
  <sheetFormatPr defaultRowHeight="15" x14ac:dyDescent="0.25"/>
  <cols>
    <col min="1" max="1" width="16" customWidth="1"/>
    <col min="2" max="2" width="17" bestFit="1" customWidth="1"/>
    <col min="3" max="3" width="36.140625" bestFit="1" customWidth="1"/>
    <col min="4" max="4" width="23.140625" bestFit="1" customWidth="1"/>
    <col min="5" max="5" width="18.42578125" bestFit="1" customWidth="1"/>
    <col min="6" max="6" width="15.28515625" bestFit="1" customWidth="1"/>
    <col min="7" max="7" width="15.7109375" bestFit="1" customWidth="1"/>
  </cols>
  <sheetData>
    <row r="1" spans="1:7" ht="28.15" customHeight="1" x14ac:dyDescent="0.25">
      <c r="A1" s="108" t="s">
        <v>207</v>
      </c>
      <c r="B1" s="109"/>
      <c r="C1" s="109"/>
      <c r="D1" s="109"/>
      <c r="E1" s="109"/>
      <c r="F1" s="109"/>
      <c r="G1" s="109"/>
    </row>
    <row r="2" spans="1:7" ht="18" customHeight="1" x14ac:dyDescent="0.25">
      <c r="A2" s="110" t="s">
        <v>208</v>
      </c>
      <c r="B2" s="109"/>
      <c r="C2" s="109"/>
      <c r="D2" s="109"/>
      <c r="E2" s="109"/>
      <c r="F2" s="109"/>
      <c r="G2" s="109"/>
    </row>
    <row r="3" spans="1:7" ht="22.15" customHeight="1" x14ac:dyDescent="0.25">
      <c r="A3" s="10" t="s">
        <v>54</v>
      </c>
      <c r="B3" s="16" t="s">
        <v>55</v>
      </c>
      <c r="C3" s="16" t="s">
        <v>209</v>
      </c>
      <c r="D3" s="16" t="s">
        <v>210</v>
      </c>
      <c r="E3" s="10" t="s">
        <v>189</v>
      </c>
      <c r="F3" s="10" t="s">
        <v>275</v>
      </c>
      <c r="G3" s="10" t="s">
        <v>278</v>
      </c>
    </row>
    <row r="4" spans="1:7" x14ac:dyDescent="0.25">
      <c r="A4" s="11" t="s">
        <v>56</v>
      </c>
      <c r="B4" s="12" t="s">
        <v>70</v>
      </c>
      <c r="C4" s="12" t="s">
        <v>211</v>
      </c>
      <c r="D4" s="37" t="s">
        <v>70</v>
      </c>
      <c r="E4" s="14" t="s">
        <v>212</v>
      </c>
      <c r="F4" s="14" t="s">
        <v>196</v>
      </c>
      <c r="G4" s="14" t="s">
        <v>196</v>
      </c>
    </row>
    <row r="5" spans="1:7" ht="101.25" x14ac:dyDescent="0.25">
      <c r="A5" s="13" t="s">
        <v>58</v>
      </c>
      <c r="B5" s="13" t="s">
        <v>213</v>
      </c>
      <c r="C5" s="13" t="s">
        <v>209</v>
      </c>
      <c r="D5" s="31" t="s">
        <v>210</v>
      </c>
      <c r="E5" s="13" t="s">
        <v>106</v>
      </c>
      <c r="F5" s="13" t="s">
        <v>280</v>
      </c>
      <c r="G5" s="13" t="s">
        <v>279</v>
      </c>
    </row>
    <row r="6" spans="1:7" x14ac:dyDescent="0.25">
      <c r="A6" s="23" t="s">
        <v>54</v>
      </c>
      <c r="B6" s="28" t="s">
        <v>60</v>
      </c>
      <c r="C6" s="28" t="s">
        <v>214</v>
      </c>
      <c r="D6" s="28" t="s">
        <v>201</v>
      </c>
      <c r="E6" s="28" t="s">
        <v>189</v>
      </c>
      <c r="F6" s="24" t="s">
        <v>277</v>
      </c>
      <c r="G6" s="24" t="s">
        <v>276</v>
      </c>
    </row>
    <row r="7" spans="1:7" ht="18" customHeight="1" x14ac:dyDescent="0.25">
      <c r="A7" s="34" t="s">
        <v>423</v>
      </c>
      <c r="B7" s="18" t="s">
        <v>215</v>
      </c>
      <c r="C7" s="3" t="s">
        <v>49</v>
      </c>
      <c r="D7" s="3" t="s">
        <v>184</v>
      </c>
      <c r="E7" s="3" t="str">
        <f>_xlfn.XLOOKUP(ParticipantTypeTable[[#This Row],[activityTypeName]],ActivityTypeTable[name], ActivityTypeTable[id],"",0,1)</f>
        <v>ddfcc1c0-36bd-4161-81ea-59e3609534ad</v>
      </c>
      <c r="F7" s="20">
        <v>1</v>
      </c>
      <c r="G7" s="20">
        <v>1</v>
      </c>
    </row>
    <row r="8" spans="1:7" ht="18" customHeight="1" x14ac:dyDescent="0.25">
      <c r="A8" s="19" t="s">
        <v>354</v>
      </c>
      <c r="B8" s="2" t="s">
        <v>216</v>
      </c>
      <c r="C8" s="2" t="s">
        <v>47</v>
      </c>
      <c r="D8" s="2" t="s">
        <v>184</v>
      </c>
      <c r="E8" s="3" t="str">
        <f>_xlfn.XLOOKUP(ParticipantTypeTable[[#This Row],[activityTypeName]],ActivityTypeTable[name], ActivityTypeTable[id],"",0,1)</f>
        <v>ddfcc1c0-36bd-4161-81ea-59e3609534ad</v>
      </c>
      <c r="F8" s="20">
        <v>1</v>
      </c>
      <c r="G8" s="20">
        <v>1</v>
      </c>
    </row>
    <row r="9" spans="1:7" ht="18" customHeight="1" x14ac:dyDescent="0.25">
      <c r="A9" s="19" t="s">
        <v>355</v>
      </c>
      <c r="B9" s="3" t="s">
        <v>217</v>
      </c>
      <c r="C9" s="3" t="s">
        <v>47</v>
      </c>
      <c r="D9" s="3" t="s">
        <v>184</v>
      </c>
      <c r="E9" s="3" t="str">
        <f>_xlfn.XLOOKUP(ParticipantTypeTable[[#This Row],[activityTypeName]],ActivityTypeTable[name], ActivityTypeTable[id],"",0,1)</f>
        <v>ddfcc1c0-36bd-4161-81ea-59e3609534ad</v>
      </c>
      <c r="F9" s="20">
        <v>1</v>
      </c>
      <c r="G9" s="20">
        <v>3</v>
      </c>
    </row>
    <row r="10" spans="1:7" ht="18" customHeight="1" x14ac:dyDescent="0.25">
      <c r="A10" s="19" t="s">
        <v>356</v>
      </c>
      <c r="B10" s="2" t="s">
        <v>285</v>
      </c>
      <c r="C10" s="2" t="s">
        <v>47</v>
      </c>
      <c r="D10" s="2" t="s">
        <v>184</v>
      </c>
      <c r="E10" s="3" t="str">
        <f>_xlfn.XLOOKUP(ParticipantTypeTable[[#This Row],[activityTypeName]],ActivityTypeTable[name], ActivityTypeTable[id],"",0,1)</f>
        <v>ddfcc1c0-36bd-4161-81ea-59e3609534ad</v>
      </c>
      <c r="F10" s="20">
        <v>0</v>
      </c>
      <c r="G10" s="20">
        <v>5</v>
      </c>
    </row>
    <row r="11" spans="1:7" ht="18" customHeight="1" x14ac:dyDescent="0.25">
      <c r="A11" s="19" t="s">
        <v>357</v>
      </c>
      <c r="B11" s="2" t="s">
        <v>286</v>
      </c>
      <c r="C11" s="2" t="s">
        <v>427</v>
      </c>
      <c r="D11" s="2" t="s">
        <v>179</v>
      </c>
      <c r="E11" s="3" t="str">
        <f>_xlfn.XLOOKUP(ParticipantTypeTable[[#This Row],[activityTypeName]],ActivityTypeTable[name], ActivityTypeTable[id],"",0,1)</f>
        <v>28c19a0c-647b-47b5-8a02-76ecc3327df3</v>
      </c>
      <c r="F11" s="20">
        <v>1</v>
      </c>
      <c r="G11" s="20">
        <v>0</v>
      </c>
    </row>
    <row r="12" spans="1:7" ht="18" customHeight="1" x14ac:dyDescent="0.25">
      <c r="A12" s="53" t="s">
        <v>358</v>
      </c>
      <c r="B12" s="54" t="s">
        <v>218</v>
      </c>
      <c r="C12" s="54" t="s">
        <v>47</v>
      </c>
      <c r="D12" s="54" t="s">
        <v>180</v>
      </c>
      <c r="E12" s="54" t="str">
        <f>_xlfn.XLOOKUP(ParticipantTypeTable[[#This Row],[activityTypeName]],ActivityTypeTable[name], ActivityTypeTable[id],"",0,1)</f>
        <v>c928dfd3-c486-4917-9e97-64cc792fdc7e</v>
      </c>
      <c r="F12" s="58">
        <v>1</v>
      </c>
      <c r="G12" s="58">
        <v>1</v>
      </c>
    </row>
    <row r="13" spans="1:7" ht="18" customHeight="1" x14ac:dyDescent="0.25">
      <c r="A13" s="19" t="s">
        <v>359</v>
      </c>
      <c r="B13" s="3" t="s">
        <v>219</v>
      </c>
      <c r="C13" s="2" t="s">
        <v>427</v>
      </c>
      <c r="D13" s="3" t="s">
        <v>180</v>
      </c>
      <c r="E13" s="3" t="str">
        <f>_xlfn.XLOOKUP(ParticipantTypeTable[[#This Row],[activityTypeName]],ActivityTypeTable[name], ActivityTypeTable[id],"",0,1)</f>
        <v>c928dfd3-c486-4917-9e97-64cc792fdc7e</v>
      </c>
      <c r="F13" s="20">
        <v>1</v>
      </c>
      <c r="G13" s="20">
        <v>0</v>
      </c>
    </row>
    <row r="14" spans="1:7" x14ac:dyDescent="0.25">
      <c r="A14" s="34" t="s">
        <v>360</v>
      </c>
      <c r="B14" s="27" t="s">
        <v>220</v>
      </c>
      <c r="C14" s="27" t="s">
        <v>47</v>
      </c>
      <c r="D14" s="27" t="s">
        <v>182</v>
      </c>
      <c r="E14" s="3" t="str">
        <f>_xlfn.XLOOKUP(ParticipantTypeTable[[#This Row],[activityTypeName]],ActivityTypeTable[name], ActivityTypeTable[id],"",0,1)</f>
        <v>a1ac19cf-1f0c-4865-8eaa-5ca06099b659</v>
      </c>
      <c r="F14" s="20">
        <v>1</v>
      </c>
      <c r="G14" s="20">
        <v>0</v>
      </c>
    </row>
    <row r="15" spans="1:7" x14ac:dyDescent="0.25">
      <c r="A15" s="59" t="s">
        <v>361</v>
      </c>
      <c r="B15" s="60" t="s">
        <v>221</v>
      </c>
      <c r="C15" s="3" t="s">
        <v>49</v>
      </c>
      <c r="D15" s="60" t="s">
        <v>182</v>
      </c>
      <c r="E15" s="60" t="str">
        <f>_xlfn.XLOOKUP(ParticipantTypeTable[[#This Row],[activityTypeName]],ActivityTypeTable[name], ActivityTypeTable[id],"",0,1)</f>
        <v>a1ac19cf-1f0c-4865-8eaa-5ca06099b659</v>
      </c>
      <c r="F15" s="66">
        <v>1</v>
      </c>
      <c r="G15" s="66">
        <v>0</v>
      </c>
    </row>
    <row r="16" spans="1:7" x14ac:dyDescent="0.25">
      <c r="A16" s="53" t="s">
        <v>362</v>
      </c>
      <c r="B16" s="54" t="s">
        <v>220</v>
      </c>
      <c r="C16" s="54" t="s">
        <v>47</v>
      </c>
      <c r="D16" s="27" t="s">
        <v>181</v>
      </c>
      <c r="E16" s="54" t="str">
        <f>_xlfn.XLOOKUP(ParticipantTypeTable[[#This Row],[activityTypeName]],ActivityTypeTable[name], ActivityTypeTable[id],"",0,1)</f>
        <v>ebb336a4-c41c-4d04-bb23-4d6a2f915137</v>
      </c>
      <c r="F16" s="58">
        <v>1</v>
      </c>
      <c r="G16" s="58">
        <v>0</v>
      </c>
    </row>
    <row r="17" spans="1:7" x14ac:dyDescent="0.25">
      <c r="A17" s="53" t="s">
        <v>363</v>
      </c>
      <c r="B17" s="54" t="s">
        <v>221</v>
      </c>
      <c r="C17" s="3" t="s">
        <v>49</v>
      </c>
      <c r="D17" s="60" t="s">
        <v>181</v>
      </c>
      <c r="E17" s="54" t="str">
        <f>_xlfn.XLOOKUP(ParticipantTypeTable[[#This Row],[activityTypeName]],ActivityTypeTable[name], ActivityTypeTable[id],"",0,1)</f>
        <v>ebb336a4-c41c-4d04-bb23-4d6a2f915137</v>
      </c>
      <c r="F17" s="58">
        <v>1</v>
      </c>
      <c r="G17" s="58">
        <v>0</v>
      </c>
    </row>
    <row r="18" spans="1:7" x14ac:dyDescent="0.25">
      <c r="A18" s="19" t="s">
        <v>364</v>
      </c>
      <c r="B18" s="2" t="s">
        <v>216</v>
      </c>
      <c r="C18" s="2" t="s">
        <v>47</v>
      </c>
      <c r="D18" s="2" t="s">
        <v>185</v>
      </c>
      <c r="E18" s="3" t="str">
        <f>_xlfn.XLOOKUP(ParticipantTypeTable[[#This Row],[activityTypeName]],ActivityTypeTable[name], ActivityTypeTable[id],"",0,1)</f>
        <v>85f60830-4623-4674-85aa-a5474a0b46f4</v>
      </c>
      <c r="F18" s="20">
        <v>1</v>
      </c>
      <c r="G18" s="20">
        <v>1</v>
      </c>
    </row>
    <row r="19" spans="1:7" x14ac:dyDescent="0.25">
      <c r="A19" s="19" t="s">
        <v>365</v>
      </c>
      <c r="B19" s="3" t="s">
        <v>217</v>
      </c>
      <c r="C19" s="3" t="s">
        <v>47</v>
      </c>
      <c r="D19" s="3" t="s">
        <v>185</v>
      </c>
      <c r="E19" s="3" t="str">
        <f>_xlfn.XLOOKUP(ParticipantTypeTable[[#This Row],[activityTypeName]],ActivityTypeTable[name], ActivityTypeTable[id],"",0,1)</f>
        <v>85f60830-4623-4674-85aa-a5474a0b46f4</v>
      </c>
      <c r="F19" s="20">
        <v>1</v>
      </c>
      <c r="G19" s="20">
        <v>3</v>
      </c>
    </row>
    <row r="20" spans="1:7" x14ac:dyDescent="0.25">
      <c r="A20" s="34" t="s">
        <v>366</v>
      </c>
      <c r="B20" s="2" t="s">
        <v>285</v>
      </c>
      <c r="C20" s="2" t="s">
        <v>47</v>
      </c>
      <c r="D20" s="2" t="s">
        <v>185</v>
      </c>
      <c r="E20" s="3" t="str">
        <f>_xlfn.XLOOKUP(ParticipantTypeTable[[#This Row],[activityTypeName]],ActivityTypeTable[name], ActivityTypeTable[id],"",0,1)</f>
        <v>85f60830-4623-4674-85aa-a5474a0b46f4</v>
      </c>
      <c r="F20" s="20">
        <v>1</v>
      </c>
      <c r="G20" s="20">
        <v>5</v>
      </c>
    </row>
    <row r="21" spans="1:7" x14ac:dyDescent="0.25">
      <c r="A21" s="53" t="s">
        <v>367</v>
      </c>
      <c r="B21" s="54" t="s">
        <v>124</v>
      </c>
      <c r="C21" s="3" t="s">
        <v>49</v>
      </c>
      <c r="D21" s="60" t="s">
        <v>185</v>
      </c>
      <c r="E21" s="54" t="str">
        <f>_xlfn.XLOOKUP(ParticipantTypeTable[[#This Row],[activityTypeName]],ActivityTypeTable[name], ActivityTypeTable[id],"",0,1)</f>
        <v>85f60830-4623-4674-85aa-a5474a0b46f4</v>
      </c>
      <c r="F21" s="58">
        <v>1</v>
      </c>
      <c r="G21" s="58">
        <v>1</v>
      </c>
    </row>
    <row r="22" spans="1:7" x14ac:dyDescent="0.25">
      <c r="A22" s="80" t="s">
        <v>422</v>
      </c>
      <c r="B22" s="81" t="s">
        <v>218</v>
      </c>
      <c r="C22" s="2" t="s">
        <v>427</v>
      </c>
      <c r="D22" s="81" t="s">
        <v>183</v>
      </c>
      <c r="E22" s="81" t="str">
        <f>_xlfn.XLOOKUP(ParticipantTypeTable[[#This Row],[activityTypeName]],ActivityTypeTable[name], ActivityTypeTable[id],"",0,1)</f>
        <v>d1ef0cea-6802-4f90-8013-280870c70771</v>
      </c>
      <c r="F22" s="82">
        <v>1</v>
      </c>
      <c r="G22" s="82">
        <v>1</v>
      </c>
    </row>
  </sheetData>
  <mergeCells count="2">
    <mergeCell ref="A2:G2"/>
    <mergeCell ref="A1:G1"/>
  </mergeCells>
  <dataValidations count="1">
    <dataValidation type="list" allowBlank="1" showInputMessage="1" showErrorMessage="1" sqref="D7:D22" xr:uid="{DFD6427D-DC43-4C6F-9CBC-04CB79F6C103}">
      <formula1>ActivityTypeName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5"/>
  <sheetViews>
    <sheetView zoomScale="150" zoomScaleNormal="150" workbookViewId="0">
      <pane ySplit="5" topLeftCell="A7" activePane="bottomLeft" state="frozen"/>
      <selection pane="bottomLeft" activeCell="M13" sqref="M13:M14"/>
    </sheetView>
  </sheetViews>
  <sheetFormatPr defaultRowHeight="15" x14ac:dyDescent="0.25"/>
  <cols>
    <col min="1" max="4" width="16" customWidth="1"/>
    <col min="5" max="6" width="16" hidden="1" customWidth="1"/>
    <col min="7" max="7" width="21" hidden="1" customWidth="1"/>
    <col min="8" max="10" width="16" customWidth="1"/>
  </cols>
  <sheetData>
    <row r="1" spans="1:10" ht="28.15" customHeight="1" x14ac:dyDescent="0.25">
      <c r="A1" s="108" t="s">
        <v>222</v>
      </c>
      <c r="B1" s="113"/>
      <c r="C1" s="113"/>
      <c r="D1" s="113"/>
      <c r="E1" s="109"/>
      <c r="F1" s="109"/>
      <c r="G1" s="109"/>
      <c r="H1" s="109"/>
      <c r="I1" s="109"/>
      <c r="J1" s="109"/>
    </row>
    <row r="2" spans="1:10" ht="18" customHeight="1" x14ac:dyDescent="0.25">
      <c r="A2" s="110" t="s">
        <v>223</v>
      </c>
      <c r="B2" s="110"/>
      <c r="C2" s="110"/>
      <c r="D2" s="110"/>
      <c r="E2" s="109"/>
      <c r="F2" s="109"/>
      <c r="G2" s="109"/>
      <c r="H2" s="109"/>
      <c r="I2" s="109"/>
      <c r="J2" s="109"/>
    </row>
    <row r="3" spans="1:10" ht="22.15" customHeight="1" x14ac:dyDescent="0.25">
      <c r="A3" s="10" t="s">
        <v>54</v>
      </c>
      <c r="B3" s="16" t="s">
        <v>224</v>
      </c>
      <c r="C3" s="16" t="s">
        <v>225</v>
      </c>
      <c r="D3" s="16" t="s">
        <v>226</v>
      </c>
      <c r="E3" s="10" t="s">
        <v>227</v>
      </c>
      <c r="F3" s="10" t="s">
        <v>162</v>
      </c>
      <c r="G3" s="10" t="s">
        <v>228</v>
      </c>
      <c r="H3" s="16" t="s">
        <v>229</v>
      </c>
      <c r="I3" s="16" t="s">
        <v>230</v>
      </c>
      <c r="J3" s="16" t="s">
        <v>231</v>
      </c>
    </row>
    <row r="4" spans="1:10" ht="18" customHeight="1" x14ac:dyDescent="0.25">
      <c r="A4" s="11" t="s">
        <v>56</v>
      </c>
      <c r="B4" s="29" t="s">
        <v>70</v>
      </c>
      <c r="C4" s="29" t="s">
        <v>70</v>
      </c>
      <c r="D4" s="29" t="s">
        <v>70</v>
      </c>
      <c r="E4" s="14" t="s">
        <v>232</v>
      </c>
      <c r="F4" s="14" t="s">
        <v>233</v>
      </c>
      <c r="G4" s="14" t="s">
        <v>234</v>
      </c>
      <c r="H4" s="12" t="s">
        <v>197</v>
      </c>
      <c r="I4" s="12" t="s">
        <v>96</v>
      </c>
      <c r="J4" s="12" t="s">
        <v>96</v>
      </c>
    </row>
    <row r="5" spans="1:10" ht="16.149999999999999" customHeight="1" x14ac:dyDescent="0.25">
      <c r="A5" s="13" t="s">
        <v>58</v>
      </c>
      <c r="B5" s="31" t="s">
        <v>224</v>
      </c>
      <c r="C5" s="31" t="s">
        <v>225</v>
      </c>
      <c r="D5" s="31" t="s">
        <v>226</v>
      </c>
      <c r="E5" s="13" t="s">
        <v>71</v>
      </c>
      <c r="F5" s="13" t="s">
        <v>71</v>
      </c>
      <c r="G5" s="13" t="s">
        <v>71</v>
      </c>
      <c r="H5" s="13" t="s">
        <v>229</v>
      </c>
      <c r="I5" s="13" t="s">
        <v>230</v>
      </c>
      <c r="J5" s="13" t="s">
        <v>231</v>
      </c>
    </row>
    <row r="6" spans="1:10" ht="18" hidden="1" customHeight="1" x14ac:dyDescent="0.25">
      <c r="A6" s="23" t="s">
        <v>54</v>
      </c>
      <c r="B6" s="28" t="s">
        <v>235</v>
      </c>
      <c r="C6" s="28" t="s">
        <v>172</v>
      </c>
      <c r="D6" s="28" t="s">
        <v>236</v>
      </c>
      <c r="E6" s="28" t="s">
        <v>227</v>
      </c>
      <c r="F6" s="28" t="s">
        <v>162</v>
      </c>
      <c r="G6" s="28" t="s">
        <v>228</v>
      </c>
      <c r="H6" s="28" t="s">
        <v>237</v>
      </c>
      <c r="I6" s="28" t="s">
        <v>202</v>
      </c>
      <c r="J6" s="24" t="s">
        <v>203</v>
      </c>
    </row>
    <row r="7" spans="1:10" ht="18" customHeight="1" x14ac:dyDescent="0.25">
      <c r="A7" s="19" t="str">
        <f>IF(ISBLANK(ParticipantTable[[#This Row],[activityName]]),"", ROW()-6)</f>
        <v/>
      </c>
      <c r="B7" s="3"/>
      <c r="C7" s="3"/>
      <c r="D7" s="3"/>
      <c r="E7" s="3" t="str">
        <f>_xlfn.XLOOKUP(ParticipantTable[[#This Row],[activityName]],ActivityTable[name], ActivityTable[id],"",0,1)</f>
        <v/>
      </c>
      <c r="F7" s="3" t="str">
        <f>_xlfn.XLOOKUP(ParticipantTable[[#This Row],[userName]],UserTable[name],UserTable[id],"",0,1)</f>
        <v/>
      </c>
      <c r="G7" s="3" t="str">
        <f>_xlfn.XLOOKUP(ParticipantTable[[#This Row],[participantTypeName]],ParticipantTypeTable[name],ParticipantTypeTable[id],"",0,1)</f>
        <v/>
      </c>
      <c r="H7" s="41"/>
      <c r="I7" s="15"/>
      <c r="J7" s="38"/>
    </row>
    <row r="8" spans="1:10" ht="18" customHeight="1" x14ac:dyDescent="0.25"/>
    <row r="9" spans="1:10" ht="18" customHeight="1" x14ac:dyDescent="0.25"/>
    <row r="10" spans="1:10" ht="18" customHeight="1" x14ac:dyDescent="0.25"/>
    <row r="11" spans="1:10" ht="18" customHeight="1" x14ac:dyDescent="0.25"/>
    <row r="12" spans="1:10" ht="18" customHeight="1" x14ac:dyDescent="0.25"/>
    <row r="13" spans="1:10" ht="18" customHeight="1" x14ac:dyDescent="0.25"/>
    <row r="14" spans="1:10" ht="18" customHeight="1" x14ac:dyDescent="0.25"/>
    <row r="15" spans="1:10" ht="18" customHeight="1" x14ac:dyDescent="0.25"/>
  </sheetData>
  <mergeCells count="2">
    <mergeCell ref="A2:J2"/>
    <mergeCell ref="A1:J1"/>
  </mergeCells>
  <dataValidations count="3">
    <dataValidation type="list" allowBlank="1" showInputMessage="1" showErrorMessage="1" sqref="B7" xr:uid="{0FB4EE46-42A8-48C3-AC43-DA607B7424FB}">
      <formula1>ActivityName</formula1>
    </dataValidation>
    <dataValidation type="list" allowBlank="1" showInputMessage="1" showErrorMessage="1" sqref="C7" xr:uid="{CFD1C394-F49E-4D7E-8A1C-7AC892B6E620}">
      <formula1>UserName</formula1>
    </dataValidation>
    <dataValidation type="list" allowBlank="1" showInputMessage="1" showErrorMessage="1" sqref="D7" xr:uid="{8993CB63-360F-4C60-96DC-899706B70557}">
      <formula1>ParticipantTypeName</formula1>
    </dataValidation>
  </dataValidation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4"/>
  <sheetViews>
    <sheetView tabSelected="1" zoomScale="150" zoomScaleNormal="150" workbookViewId="0">
      <pane ySplit="5" topLeftCell="A6" activePane="bottomLeft" state="frozen"/>
      <selection pane="bottomLeft" activeCell="D15" sqref="D15"/>
    </sheetView>
  </sheetViews>
  <sheetFormatPr defaultRowHeight="15" x14ac:dyDescent="0.25"/>
  <cols>
    <col min="1" max="1" width="16" customWidth="1"/>
    <col min="2" max="2" width="31.85546875" bestFit="1" customWidth="1"/>
  </cols>
  <sheetData>
    <row r="1" spans="1:2" ht="28.15" customHeight="1" x14ac:dyDescent="0.25">
      <c r="A1" s="108" t="s">
        <v>238</v>
      </c>
      <c r="B1" s="109"/>
    </row>
    <row r="2" spans="1:2" ht="18" customHeight="1" x14ac:dyDescent="0.25">
      <c r="A2" s="110" t="s">
        <v>239</v>
      </c>
      <c r="B2" s="109"/>
    </row>
    <row r="3" spans="1:2" ht="22.15" customHeight="1" x14ac:dyDescent="0.25">
      <c r="A3" s="10" t="s">
        <v>54</v>
      </c>
      <c r="B3" s="16" t="s">
        <v>240</v>
      </c>
    </row>
    <row r="4" spans="1:2" ht="18" customHeight="1" x14ac:dyDescent="0.25">
      <c r="A4" s="11" t="s">
        <v>56</v>
      </c>
      <c r="B4" s="12" t="s">
        <v>57</v>
      </c>
    </row>
    <row r="5" spans="1:2" x14ac:dyDescent="0.25">
      <c r="A5" s="13" t="s">
        <v>58</v>
      </c>
      <c r="B5" s="13" t="s">
        <v>241</v>
      </c>
    </row>
    <row r="6" spans="1:2" x14ac:dyDescent="0.25">
      <c r="A6" s="23" t="s">
        <v>54</v>
      </c>
      <c r="B6" s="28" t="s">
        <v>60</v>
      </c>
    </row>
    <row r="7" spans="1:2" ht="18" customHeight="1" x14ac:dyDescent="0.25">
      <c r="A7" s="19" t="s">
        <v>368</v>
      </c>
      <c r="B7" s="3" t="s">
        <v>242</v>
      </c>
    </row>
    <row r="8" spans="1:2" ht="18" customHeight="1" x14ac:dyDescent="0.25">
      <c r="A8" s="19" t="s">
        <v>369</v>
      </c>
      <c r="B8" s="78" t="s">
        <v>421</v>
      </c>
    </row>
    <row r="9" spans="1:2" ht="18" customHeight="1" x14ac:dyDescent="0.25">
      <c r="A9" s="19" t="s">
        <v>370</v>
      </c>
      <c r="B9" s="18" t="s">
        <v>420</v>
      </c>
    </row>
    <row r="10" spans="1:2" ht="18" customHeight="1" x14ac:dyDescent="0.25">
      <c r="A10" s="19" t="s">
        <v>371</v>
      </c>
      <c r="B10" s="78" t="s">
        <v>419</v>
      </c>
    </row>
    <row r="11" spans="1:2" ht="18" customHeight="1" x14ac:dyDescent="0.25">
      <c r="A11" s="19" t="s">
        <v>372</v>
      </c>
      <c r="B11" s="3" t="s">
        <v>243</v>
      </c>
    </row>
    <row r="12" spans="1:2" ht="18" customHeight="1" x14ac:dyDescent="0.25">
      <c r="A12" s="19" t="s">
        <v>373</v>
      </c>
      <c r="B12" s="2" t="s">
        <v>184</v>
      </c>
    </row>
    <row r="13" spans="1:2" ht="18" customHeight="1" x14ac:dyDescent="0.25">
      <c r="A13" s="19" t="s">
        <v>374</v>
      </c>
      <c r="B13" s="3" t="s">
        <v>244</v>
      </c>
    </row>
    <row r="14" spans="1:2" ht="18" customHeight="1" x14ac:dyDescent="0.25">
      <c r="A14" s="80" t="s">
        <v>472</v>
      </c>
      <c r="B14" s="81" t="s">
        <v>473</v>
      </c>
    </row>
  </sheetData>
  <mergeCells count="2">
    <mergeCell ref="A1:B1"/>
    <mergeCell ref="A2:B2"/>
  </mergeCells>
  <pageMargins left="0.75" right="0.75" top="1" bottom="1" header="0.5" footer="0.5"/>
  <pageSetup orientation="portrait" horizontalDpi="0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7"/>
  <sheetViews>
    <sheetView topLeftCell="E1" zoomScale="150" zoomScaleNormal="150" workbookViewId="0">
      <pane ySplit="5" topLeftCell="A9" activePane="bottomLeft" state="frozen"/>
      <selection pane="bottomLeft" activeCell="I10" sqref="I10"/>
    </sheetView>
  </sheetViews>
  <sheetFormatPr defaultRowHeight="15" x14ac:dyDescent="0.25"/>
  <cols>
    <col min="1" max="1" width="16" customWidth="1"/>
    <col min="2" max="2" width="20.28515625" bestFit="1" customWidth="1"/>
    <col min="3" max="3" width="17" hidden="1" customWidth="1"/>
    <col min="4" max="4" width="16" customWidth="1"/>
    <col min="5" max="5" width="20.7109375" bestFit="1" customWidth="1"/>
    <col min="6" max="6" width="19" bestFit="1" customWidth="1"/>
    <col min="7" max="7" width="18" customWidth="1"/>
    <col min="8" max="8" width="37.42578125" bestFit="1" customWidth="1"/>
    <col min="9" max="9" width="81.28515625" style="71" customWidth="1"/>
  </cols>
  <sheetData>
    <row r="1" spans="1:9" ht="28.15" customHeight="1" x14ac:dyDescent="0.25">
      <c r="A1" s="108" t="s">
        <v>245</v>
      </c>
      <c r="B1" s="113"/>
      <c r="C1" s="109"/>
      <c r="D1" s="109"/>
      <c r="E1" s="109"/>
      <c r="F1" s="109"/>
      <c r="G1" s="109"/>
      <c r="H1" s="109"/>
      <c r="I1" s="109"/>
    </row>
    <row r="2" spans="1:9" ht="18" customHeight="1" x14ac:dyDescent="0.25">
      <c r="A2" s="110" t="s">
        <v>246</v>
      </c>
      <c r="B2" s="110"/>
      <c r="C2" s="109"/>
      <c r="D2" s="109"/>
      <c r="E2" s="109"/>
      <c r="F2" s="109"/>
      <c r="G2" s="109"/>
      <c r="H2" s="109"/>
      <c r="I2" s="109"/>
    </row>
    <row r="3" spans="1:9" ht="25.5" x14ac:dyDescent="0.25">
      <c r="A3" s="10" t="s">
        <v>54</v>
      </c>
      <c r="B3" s="16" t="s">
        <v>247</v>
      </c>
      <c r="C3" s="10" t="s">
        <v>248</v>
      </c>
      <c r="D3" s="10" t="s">
        <v>108</v>
      </c>
      <c r="E3" s="10" t="s">
        <v>282</v>
      </c>
      <c r="F3" s="10" t="s">
        <v>189</v>
      </c>
      <c r="G3" s="10" t="s">
        <v>283</v>
      </c>
      <c r="H3" s="10" t="s">
        <v>228</v>
      </c>
      <c r="I3" s="16" t="s">
        <v>249</v>
      </c>
    </row>
    <row r="4" spans="1:9" ht="18" customHeight="1" x14ac:dyDescent="0.25">
      <c r="A4" s="11" t="s">
        <v>56</v>
      </c>
      <c r="B4" s="29" t="s">
        <v>70</v>
      </c>
      <c r="C4" s="14" t="s">
        <v>250</v>
      </c>
      <c r="D4" s="12" t="s">
        <v>251</v>
      </c>
      <c r="E4" s="12" t="s">
        <v>95</v>
      </c>
      <c r="F4" s="14" t="s">
        <v>212</v>
      </c>
      <c r="G4" s="14" t="s">
        <v>95</v>
      </c>
      <c r="H4" s="14" t="s">
        <v>252</v>
      </c>
      <c r="I4" s="68" t="s">
        <v>70</v>
      </c>
    </row>
    <row r="5" spans="1:9" ht="22.5" x14ac:dyDescent="0.25">
      <c r="A5" s="13" t="s">
        <v>58</v>
      </c>
      <c r="B5" s="31" t="s">
        <v>247</v>
      </c>
      <c r="C5" s="13" t="s">
        <v>71</v>
      </c>
      <c r="D5" s="13" t="s">
        <v>253</v>
      </c>
      <c r="E5" s="13" t="s">
        <v>188</v>
      </c>
      <c r="F5" s="13" t="s">
        <v>106</v>
      </c>
      <c r="G5" s="13" t="s">
        <v>284</v>
      </c>
      <c r="H5" s="13" t="s">
        <v>106</v>
      </c>
      <c r="I5" s="13" t="s">
        <v>254</v>
      </c>
    </row>
    <row r="6" spans="1:9" x14ac:dyDescent="0.25">
      <c r="A6" s="23" t="s">
        <v>54</v>
      </c>
      <c r="B6" s="28" t="s">
        <v>255</v>
      </c>
      <c r="C6" s="28" t="s">
        <v>248</v>
      </c>
      <c r="D6" s="28" t="s">
        <v>108</v>
      </c>
      <c r="E6" s="28" t="s">
        <v>201</v>
      </c>
      <c r="F6" s="28" t="s">
        <v>189</v>
      </c>
      <c r="G6" s="28" t="s">
        <v>236</v>
      </c>
      <c r="H6" s="28" t="s">
        <v>228</v>
      </c>
      <c r="I6" s="69" t="s">
        <v>256</v>
      </c>
    </row>
    <row r="7" spans="1:9" ht="63.75" x14ac:dyDescent="0.25">
      <c r="A7" s="19" t="s">
        <v>375</v>
      </c>
      <c r="B7" s="3" t="s">
        <v>242</v>
      </c>
      <c r="C7" s="45" t="str">
        <f>_xlfn.XLOOKUP(TemplateTable[[#This Row],[certificateName]],CertificateTable[name], CertificateTable[id],"",0,1)</f>
        <v>0d4a5519-dcfe-4e22-a7a7-801d35603c94</v>
      </c>
      <c r="D7" s="3" t="s">
        <v>49</v>
      </c>
      <c r="E7" s="3"/>
      <c r="F7" s="3" t="str">
        <f>_xlfn.XLOOKUP(TemplateTable[[#This Row],[activityTypeName]], ActivityTypeTable[name],ActivityTypeTable[id], "",0,1)</f>
        <v/>
      </c>
      <c r="G7" s="3"/>
      <c r="H7" s="3" t="str">
        <f>_xlfn.XLOOKUP(TemplateTable[[#This Row],[participantTypeName]], ParticipantTypeTable[name], ParticipantTypeTable[id],"",0,1)</f>
        <v/>
      </c>
      <c r="I7" s="70" t="s">
        <v>442</v>
      </c>
    </row>
    <row r="8" spans="1:9" ht="131.25" x14ac:dyDescent="0.3">
      <c r="A8" s="19" t="s">
        <v>376</v>
      </c>
      <c r="B8" s="2" t="s">
        <v>244</v>
      </c>
      <c r="C8" s="45" t="str">
        <f>_xlfn.XLOOKUP(TemplateTable[[#This Row],[certificateName]],CertificateTable[name], CertificateTable[id],"",0,1)</f>
        <v>a3ba3081-f86d-4023-8aa9-1d15a2fe3201</v>
      </c>
      <c r="D8" s="2"/>
      <c r="E8" s="2"/>
      <c r="F8" s="2" t="str">
        <f>_xlfn.XLOOKUP(TemplateTable[[#This Row],[activityTypeName]], ActivityTypeTable[name],ActivityTypeTable[id], "",0,1)</f>
        <v/>
      </c>
      <c r="G8" s="2" t="s">
        <v>218</v>
      </c>
      <c r="H8" s="80" t="s">
        <v>422</v>
      </c>
      <c r="I8" s="67" t="s">
        <v>443</v>
      </c>
    </row>
    <row r="9" spans="1:9" ht="132" x14ac:dyDescent="0.3">
      <c r="A9" s="19" t="s">
        <v>377</v>
      </c>
      <c r="B9" s="3" t="s">
        <v>419</v>
      </c>
      <c r="C9" s="45" t="str">
        <f>_xlfn.XLOOKUP(TemplateTable[[#This Row],[certificateName]],CertificateTable[name], CertificateTable[id],"",0,1)</f>
        <v>4764e10b-d983-43cc-a383-9d71a9d3e3cf</v>
      </c>
      <c r="D9" s="3"/>
      <c r="E9" s="3"/>
      <c r="F9" s="3" t="str">
        <f>_xlfn.XLOOKUP(TemplateTable[[#This Row],[activityTypeName]], ActivityTypeTable[name],ActivityTypeTable[id], "",0,1)</f>
        <v/>
      </c>
      <c r="G9" s="3" t="s">
        <v>220</v>
      </c>
      <c r="H9" s="3" t="str">
        <f>_xlfn.XLOOKUP(TemplateTable[[#This Row],[participantTypeName]], ParticipantTypeTable[name], ParticipantTypeTable[id],"",0,1)</f>
        <v>49a226e4-b8bc-4885-a1ba-f273c63ab27f</v>
      </c>
      <c r="I9" s="101" t="s">
        <v>471</v>
      </c>
    </row>
    <row r="10" spans="1:9" ht="108" x14ac:dyDescent="0.35">
      <c r="A10" s="19" t="s">
        <v>378</v>
      </c>
      <c r="B10" s="2" t="s">
        <v>184</v>
      </c>
      <c r="C10" s="45" t="str">
        <f>_xlfn.XLOOKUP(TemplateTable[[#This Row],[certificateName]],CertificateTable[name], CertificateTable[id],"",0,1)</f>
        <v>e5b15ec4-ee14-40b4-9113-c53055d7fbcf</v>
      </c>
      <c r="D10" s="2"/>
      <c r="E10" s="2"/>
      <c r="F10" s="2" t="str">
        <f>_xlfn.XLOOKUP(TemplateTable[[#This Row],[activityTypeName]], ActivityTypeTable[name],ActivityTypeTable[id], "",0,1)</f>
        <v/>
      </c>
      <c r="G10" s="2" t="s">
        <v>216</v>
      </c>
      <c r="H10" s="2" t="str">
        <f>_xlfn.XLOOKUP(TemplateTable[[#This Row],[participantTypeName]], ParticipantTypeTable[name], ParticipantTypeTable[id],"",0,1)</f>
        <v>09642418-bf20-4666-82d0-b788c9b0ed3c</v>
      </c>
      <c r="I10" s="102" t="s">
        <v>444</v>
      </c>
    </row>
    <row r="11" spans="1:9" ht="115.5" x14ac:dyDescent="0.3">
      <c r="A11" s="19" t="s">
        <v>379</v>
      </c>
      <c r="B11" s="3" t="s">
        <v>243</v>
      </c>
      <c r="C11" s="45" t="str">
        <f>_xlfn.XLOOKUP(TemplateTable[[#This Row],[certificateName]],CertificateTable[name], CertificateTable[id],"",0,1)</f>
        <v>127782dc-efae-40cf-a477-558cb5ac3ae8</v>
      </c>
      <c r="D11" s="3"/>
      <c r="E11" s="3"/>
      <c r="F11" s="3" t="str">
        <f>_xlfn.XLOOKUP(TemplateTable[[#This Row],[activityTypeName]], ActivityTypeTable[name],ActivityTypeTable[id], "",0,1)</f>
        <v/>
      </c>
      <c r="G11" s="3" t="s">
        <v>124</v>
      </c>
      <c r="H11" s="3" t="str">
        <f>_xlfn.XLOOKUP(TemplateTable[[#This Row],[participantTypeName]], ParticipantTypeTable[name], ParticipantTypeTable[id],"",0,1)</f>
        <v>5b8a57a3-4284-4a02-a7e4-cc2181a9aad4</v>
      </c>
      <c r="I11" s="103" t="s">
        <v>445</v>
      </c>
    </row>
    <row r="12" spans="1:9" ht="18" customHeight="1" x14ac:dyDescent="0.25">
      <c r="I12"/>
    </row>
    <row r="13" spans="1:9" ht="18" customHeight="1" x14ac:dyDescent="0.25">
      <c r="I13"/>
    </row>
    <row r="14" spans="1:9" ht="18" customHeight="1" x14ac:dyDescent="0.25">
      <c r="I14"/>
    </row>
    <row r="15" spans="1:9" ht="18" customHeight="1" x14ac:dyDescent="0.25">
      <c r="I15"/>
    </row>
    <row r="16" spans="1:9" x14ac:dyDescent="0.25">
      <c r="I16"/>
    </row>
    <row r="17" spans="9:9" x14ac:dyDescent="0.25">
      <c r="I17"/>
    </row>
  </sheetData>
  <mergeCells count="2">
    <mergeCell ref="A2:I2"/>
    <mergeCell ref="A1:I1"/>
  </mergeCells>
  <dataValidations count="3">
    <dataValidation type="list" allowBlank="1" showInputMessage="1" showErrorMessage="1" sqref="B7:B11" xr:uid="{291FD301-BE28-43A8-B269-8A08033BF808}">
      <formula1>CertificateName</formula1>
    </dataValidation>
    <dataValidation type="list" allowBlank="1" showInputMessage="1" showErrorMessage="1" sqref="E7:E11" xr:uid="{19FDD069-E4B7-436F-9CD5-A449F84BA8C1}">
      <formula1>ActivityTypeName</formula1>
    </dataValidation>
    <dataValidation type="list" allowBlank="1" showInputMessage="1" showErrorMessage="1" sqref="G7:G11" xr:uid="{84725B5C-12EF-4738-9C6E-6FF71211CEE4}">
      <formula1>ParticipantTypeName</formula1>
    </dataValidation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5"/>
  <sheetViews>
    <sheetView zoomScaleNormal="100" workbookViewId="0">
      <pane ySplit="5" topLeftCell="A6" activePane="bottomLeft" state="frozen"/>
      <selection pane="bottomLeft" activeCell="C19" sqref="C19"/>
    </sheetView>
  </sheetViews>
  <sheetFormatPr defaultRowHeight="15" x14ac:dyDescent="0.25"/>
  <cols>
    <col min="1" max="1" width="16" customWidth="1"/>
    <col min="2" max="2" width="29.42578125" bestFit="1" customWidth="1"/>
    <col min="3" max="3" width="101.7109375" bestFit="1" customWidth="1"/>
    <col min="4" max="4" width="34.42578125" bestFit="1" customWidth="1"/>
    <col min="5" max="5" width="14.140625" bestFit="1" customWidth="1"/>
    <col min="6" max="6" width="16" customWidth="1"/>
  </cols>
  <sheetData>
    <row r="1" spans="1:6" ht="28.15" customHeight="1" x14ac:dyDescent="0.25">
      <c r="A1" s="108" t="s">
        <v>257</v>
      </c>
      <c r="B1" s="108"/>
      <c r="C1" s="108"/>
      <c r="D1" s="109"/>
      <c r="E1" s="109"/>
      <c r="F1" s="109"/>
    </row>
    <row r="2" spans="1:6" ht="18" customHeight="1" x14ac:dyDescent="0.25">
      <c r="A2" s="110" t="s">
        <v>258</v>
      </c>
      <c r="B2" s="110"/>
      <c r="C2" s="110"/>
      <c r="D2" s="109"/>
      <c r="E2" s="109"/>
      <c r="F2" s="109"/>
    </row>
    <row r="3" spans="1:6" ht="22.15" customHeight="1" x14ac:dyDescent="0.25">
      <c r="A3" s="10" t="s">
        <v>54</v>
      </c>
      <c r="B3" s="10" t="s">
        <v>259</v>
      </c>
      <c r="C3" s="10" t="s">
        <v>235</v>
      </c>
      <c r="D3" s="10" t="s">
        <v>171</v>
      </c>
      <c r="E3" s="10" t="s">
        <v>227</v>
      </c>
      <c r="F3" s="10" t="s">
        <v>260</v>
      </c>
    </row>
    <row r="4" spans="1:6" ht="18" customHeight="1" x14ac:dyDescent="0.25">
      <c r="A4" s="11" t="s">
        <v>56</v>
      </c>
      <c r="B4" s="11" t="s">
        <v>70</v>
      </c>
      <c r="C4" s="11" t="s">
        <v>70</v>
      </c>
      <c r="D4" s="14" t="s">
        <v>261</v>
      </c>
      <c r="E4" s="14" t="s">
        <v>232</v>
      </c>
      <c r="F4" s="12" t="s">
        <v>262</v>
      </c>
    </row>
    <row r="5" spans="1:6" ht="16.149999999999999" customHeight="1" x14ac:dyDescent="0.25">
      <c r="A5" s="13" t="s">
        <v>58</v>
      </c>
      <c r="B5" s="13" t="s">
        <v>263</v>
      </c>
      <c r="C5" s="13" t="s">
        <v>263</v>
      </c>
      <c r="D5" s="13" t="s">
        <v>71</v>
      </c>
      <c r="E5" s="13" t="s">
        <v>71</v>
      </c>
      <c r="F5" s="13" t="s">
        <v>264</v>
      </c>
    </row>
    <row r="6" spans="1:6" ht="18" customHeight="1" x14ac:dyDescent="0.25">
      <c r="A6" s="46" t="s">
        <v>54</v>
      </c>
      <c r="B6" s="47" t="s">
        <v>259</v>
      </c>
      <c r="C6" s="47" t="s">
        <v>235</v>
      </c>
      <c r="D6" s="47" t="s">
        <v>171</v>
      </c>
      <c r="E6" s="47" t="s">
        <v>227</v>
      </c>
      <c r="F6" s="48" t="s">
        <v>260</v>
      </c>
    </row>
    <row r="7" spans="1:6" ht="18" customHeight="1" x14ac:dyDescent="0.25">
      <c r="A7" s="19" t="s">
        <v>380</v>
      </c>
      <c r="B7" s="3" t="s">
        <v>400</v>
      </c>
      <c r="C7" s="3" t="s">
        <v>206</v>
      </c>
      <c r="D7" s="3" t="str">
        <f>_xlfn.XLOOKUP(ExamTable[[#This Row],[studentName]],StudentTable[userName],StudentTable[id],"",0,1)</f>
        <v>ace94087-92f9-4ed2-adef-76f4e614caa5</v>
      </c>
      <c r="E7" s="3" t="str">
        <f>_xlfn.XLOOKUP(ExamTable[[#This Row],[activityName]],ActivityTable[name], ActivityTable[id],"",0,1)</f>
        <v>5e86aa49-b6ee-4e13-944d-38edca71e801</v>
      </c>
      <c r="F7" s="20" t="s">
        <v>281</v>
      </c>
    </row>
    <row r="8" spans="1:6" ht="18" customHeight="1" x14ac:dyDescent="0.25"/>
    <row r="9" spans="1:6" ht="18" customHeight="1" x14ac:dyDescent="0.25"/>
    <row r="10" spans="1:6" ht="18" customHeight="1" x14ac:dyDescent="0.25"/>
    <row r="11" spans="1:6" ht="18" customHeight="1" x14ac:dyDescent="0.25"/>
    <row r="12" spans="1:6" ht="18" customHeight="1" x14ac:dyDescent="0.25"/>
    <row r="13" spans="1:6" ht="18" customHeight="1" x14ac:dyDescent="0.25"/>
    <row r="14" spans="1:6" ht="18" customHeight="1" x14ac:dyDescent="0.25"/>
    <row r="15" spans="1:6" ht="18" customHeight="1" x14ac:dyDescent="0.25"/>
  </sheetData>
  <mergeCells count="2">
    <mergeCell ref="A1:F1"/>
    <mergeCell ref="A2:F2"/>
  </mergeCells>
  <dataValidations count="2">
    <dataValidation type="list" allowBlank="1" showInputMessage="1" showErrorMessage="1" sqref="B7" xr:uid="{D9BD2169-76A8-4C21-8085-4C3402C192A8}">
      <formula1>StudentName</formula1>
    </dataValidation>
    <dataValidation type="list" allowBlank="1" showInputMessage="1" showErrorMessage="1" sqref="C7" xr:uid="{96C3EC18-8CCD-46C4-B2BC-E02AC3A1CBF5}">
      <formula1>ActivityName</formula1>
    </dataValidation>
  </dataValidation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5"/>
  <sheetViews>
    <sheetView zoomScale="150" zoomScaleNormal="150" workbookViewId="0">
      <pane ySplit="5" topLeftCell="A6" activePane="bottomLeft" state="frozen"/>
      <selection pane="bottomLeft" activeCell="D7" sqref="D7"/>
    </sheetView>
  </sheetViews>
  <sheetFormatPr defaultRowHeight="15" x14ac:dyDescent="0.25"/>
  <cols>
    <col min="1" max="4" width="16" customWidth="1"/>
    <col min="5" max="5" width="9.85546875" customWidth="1"/>
    <col min="6" max="6" width="16" customWidth="1"/>
    <col min="7" max="7" width="16" hidden="1" customWidth="1"/>
  </cols>
  <sheetData>
    <row r="1" spans="1:7" ht="28.15" customHeight="1" x14ac:dyDescent="0.25">
      <c r="A1" s="108" t="s">
        <v>265</v>
      </c>
      <c r="B1" s="109"/>
      <c r="C1" s="109"/>
      <c r="D1" s="109"/>
      <c r="E1" s="109"/>
      <c r="F1" s="109"/>
      <c r="G1" s="109"/>
    </row>
    <row r="2" spans="1:7" ht="18" customHeight="1" x14ac:dyDescent="0.25">
      <c r="A2" s="110" t="s">
        <v>266</v>
      </c>
      <c r="B2" s="109"/>
      <c r="C2" s="109"/>
      <c r="D2" s="109"/>
      <c r="E2" s="109"/>
      <c r="F2" s="109"/>
      <c r="G2" s="109"/>
    </row>
    <row r="3" spans="1:7" ht="38.450000000000003" customHeight="1" x14ac:dyDescent="0.25">
      <c r="A3" s="10" t="s">
        <v>54</v>
      </c>
      <c r="B3" s="16" t="s">
        <v>55</v>
      </c>
      <c r="C3" s="16" t="s">
        <v>267</v>
      </c>
      <c r="D3" s="16" t="s">
        <v>268</v>
      </c>
      <c r="E3" s="10" t="s">
        <v>269</v>
      </c>
      <c r="F3" s="16" t="s">
        <v>270</v>
      </c>
      <c r="G3" s="10" t="s">
        <v>271</v>
      </c>
    </row>
    <row r="4" spans="1:7" ht="18" customHeight="1" x14ac:dyDescent="0.25">
      <c r="A4" s="11" t="s">
        <v>56</v>
      </c>
      <c r="B4" s="12" t="s">
        <v>57</v>
      </c>
      <c r="C4" s="12" t="s">
        <v>167</v>
      </c>
      <c r="D4" s="12" t="s">
        <v>167</v>
      </c>
      <c r="E4" s="12" t="s">
        <v>94</v>
      </c>
      <c r="F4" s="12" t="s">
        <v>94</v>
      </c>
      <c r="G4" s="12" t="s">
        <v>70</v>
      </c>
    </row>
    <row r="5" spans="1:7" ht="16.149999999999999" customHeight="1" x14ac:dyDescent="0.25">
      <c r="A5" s="49" t="s">
        <v>58</v>
      </c>
      <c r="B5" s="49" t="s">
        <v>272</v>
      </c>
      <c r="C5" s="49" t="s">
        <v>267</v>
      </c>
      <c r="D5" s="49" t="s">
        <v>268</v>
      </c>
      <c r="E5" s="49" t="s">
        <v>101</v>
      </c>
      <c r="F5" s="49" t="s">
        <v>273</v>
      </c>
      <c r="G5" s="13" t="s">
        <v>274</v>
      </c>
    </row>
    <row r="6" spans="1:7" x14ac:dyDescent="0.25">
      <c r="A6" t="s">
        <v>54</v>
      </c>
      <c r="B6" t="s">
        <v>60</v>
      </c>
      <c r="C6" t="s">
        <v>424</v>
      </c>
      <c r="D6" t="s">
        <v>425</v>
      </c>
      <c r="E6" t="s">
        <v>269</v>
      </c>
      <c r="F6" t="s">
        <v>426</v>
      </c>
      <c r="G6" s="19"/>
    </row>
    <row r="7" spans="1:7" ht="18" customHeight="1" x14ac:dyDescent="0.25">
      <c r="A7" s="83" t="s">
        <v>381</v>
      </c>
      <c r="B7" s="83" t="s">
        <v>382</v>
      </c>
      <c r="C7" s="84">
        <v>46083</v>
      </c>
      <c r="D7" s="84">
        <v>46206</v>
      </c>
      <c r="E7" s="83" t="b">
        <v>1</v>
      </c>
      <c r="F7" s="85" t="b">
        <f ca="1">IF(AND(AcademicPeriod!$C7&lt;=TODAY(),AcademicPeriod!$D7&gt;=TODAY()),TRUE, FALSE)</f>
        <v>1</v>
      </c>
      <c r="G7" s="86"/>
    </row>
    <row r="8" spans="1:7" ht="18" customHeight="1" x14ac:dyDescent="0.25">
      <c r="A8" s="87" t="s">
        <v>384</v>
      </c>
      <c r="B8" s="87" t="s">
        <v>383</v>
      </c>
      <c r="C8" s="88">
        <v>46237</v>
      </c>
      <c r="D8" s="88">
        <v>46381</v>
      </c>
      <c r="E8" s="22" t="b">
        <f>FALSE</f>
        <v>0</v>
      </c>
      <c r="F8" s="89" t="b">
        <f ca="1">IF(AND(AcademicPeriod!$C8&lt;=TODAY(),AcademicPeriod!$D8&gt;=TODAY()),TRUE, FALSE)</f>
        <v>0</v>
      </c>
      <c r="G8" s="19"/>
    </row>
    <row r="9" spans="1:7" ht="18" customHeight="1" x14ac:dyDescent="0.25">
      <c r="G9" s="2"/>
    </row>
    <row r="10" spans="1:7" ht="18" customHeight="1" x14ac:dyDescent="0.25">
      <c r="G10" s="3"/>
    </row>
    <row r="11" spans="1:7" ht="18" customHeight="1" x14ac:dyDescent="0.25">
      <c r="G11" s="2"/>
    </row>
    <row r="12" spans="1:7" ht="18" customHeight="1" x14ac:dyDescent="0.25">
      <c r="G12" s="3"/>
    </row>
    <row r="13" spans="1:7" ht="18" customHeight="1" x14ac:dyDescent="0.25">
      <c r="G13" s="2"/>
    </row>
    <row r="14" spans="1:7" ht="18" customHeight="1" x14ac:dyDescent="0.25">
      <c r="G14" s="3"/>
    </row>
    <row r="15" spans="1:7" ht="18" customHeight="1" x14ac:dyDescent="0.25">
      <c r="G15" s="2"/>
    </row>
  </sheetData>
  <mergeCells count="2">
    <mergeCell ref="A2:G2"/>
    <mergeCell ref="A1:G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📌 Índice</vt:lpstr>
      <vt:lpstr>⚙️ Enumeraciones</vt:lpstr>
      <vt:lpstr>AcademicDegree</vt:lpstr>
      <vt:lpstr>AcademicTitle</vt:lpstr>
      <vt:lpstr>User</vt:lpstr>
      <vt:lpstr>Student</vt:lpstr>
      <vt:lpstr>ActivityType</vt:lpstr>
      <vt:lpstr>Activity</vt:lpstr>
      <vt:lpstr>ParticipantType</vt:lpstr>
      <vt:lpstr>Participant</vt:lpstr>
      <vt:lpstr>Certificate</vt:lpstr>
      <vt:lpstr>CertificateTemplate</vt:lpstr>
      <vt:lpstr>Exam</vt:lpstr>
      <vt:lpstr>AcademicPeriod</vt:lpstr>
      <vt:lpstr>AcademicDegreeName</vt:lpstr>
      <vt:lpstr>ActivityName</vt:lpstr>
      <vt:lpstr>ActivityTypeName</vt:lpstr>
      <vt:lpstr>CertificateName</vt:lpstr>
      <vt:lpstr>GENDER</vt:lpstr>
      <vt:lpstr>ParticipantTypeName</vt:lpstr>
      <vt:lpstr>ROLE</vt:lpstr>
      <vt:lpstr>STATE</vt:lpstr>
      <vt:lpstr>StudentName</vt:lpstr>
      <vt:lpstr>UserName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tomas bravo</cp:lastModifiedBy>
  <cp:revision/>
  <dcterms:created xsi:type="dcterms:W3CDTF">2026-03-09T21:08:39Z</dcterms:created>
  <dcterms:modified xsi:type="dcterms:W3CDTF">2026-04-12T06:03:09Z</dcterms:modified>
  <cp:category/>
  <cp:contentStatus/>
</cp:coreProperties>
</file>